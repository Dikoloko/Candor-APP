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ram\Downloads\"/>
    </mc:Choice>
  </mc:AlternateContent>
  <xr:revisionPtr revIDLastSave="0" documentId="13_ncr:1_{798EB22B-7E63-4301-905C-4987A225C678}" xr6:coauthVersionLast="47" xr6:coauthVersionMax="47" xr10:uidLastSave="{00000000-0000-0000-0000-000000000000}"/>
  <bookViews>
    <workbookView xWindow="-120" yWindow="-120" windowWidth="38640" windowHeight="21390" activeTab="7" xr2:uid="{00000000-000D-0000-FFFF-FFFF00000000}"/>
  </bookViews>
  <sheets>
    <sheet name="OVERZICHT" sheetId="1" r:id="rId1"/>
    <sheet name="TONDO" sheetId="2" r:id="rId2"/>
    <sheet name="THE ROOT" sheetId="3" r:id="rId3"/>
    <sheet name="The Albert" sheetId="4" r:id="rId4"/>
    <sheet name="The Arch" sheetId="5" r:id="rId5"/>
    <sheet name="Studeopolis" sheetId="6" r:id="rId6"/>
    <sheet name="Kotter" sheetId="7" r:id="rId7"/>
    <sheet name="Upko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</calcChain>
</file>

<file path=xl/sharedStrings.xml><?xml version="1.0" encoding="utf-8"?>
<sst xmlns="http://schemas.openxmlformats.org/spreadsheetml/2006/main" count="1206" uniqueCount="304">
  <si>
    <t>🏢 The Albert</t>
  </si>
  <si>
    <t>Veld</t>
  </si>
  <si>
    <t>Waarde</t>
  </si>
  <si>
    <t>Hint / Format</t>
  </si>
  <si>
    <t>ALGEMEEN</t>
  </si>
  <si>
    <t>Projectnaam</t>
  </si>
  <si>
    <t>The Albert</t>
  </si>
  <si>
    <t>Ontwikkelaar</t>
  </si>
  <si>
    <t>Antonissen Development Group</t>
  </si>
  <si>
    <t>Website ontwikkelaar</t>
  </si>
  <si>
    <t>TODO</t>
  </si>
  <si>
    <t>URL</t>
  </si>
  <si>
    <t>Candor project?</t>
  </si>
  <si>
    <t>Nee</t>
  </si>
  <si>
    <t>Ja / Nee</t>
  </si>
  <si>
    <t>Project type</t>
  </si>
  <si>
    <t>studenten</t>
  </si>
  <si>
    <t>studenten / residentieel / hotel_korte_termijn</t>
  </si>
  <si>
    <t>Investering type</t>
  </si>
  <si>
    <t>onroerend</t>
  </si>
  <si>
    <t>roerend / onroerend</t>
  </si>
  <si>
    <t>Status</t>
  </si>
  <si>
    <t>in_verkoop</t>
  </si>
  <si>
    <t>in_verkoop / uitverkocht / in_aanbouw / opgeleverd / gepland</t>
  </si>
  <si>
    <t>Opleveringsdatum</t>
  </si>
  <si>
    <t>September 2027</t>
  </si>
  <si>
    <t>bv. Q3 2026</t>
  </si>
  <si>
    <t>Start verkoop</t>
  </si>
  <si>
    <t>bv. Q1 2025</t>
  </si>
  <si>
    <t>LOCATIE</t>
  </si>
  <si>
    <t>Stad</t>
  </si>
  <si>
    <t>Gent</t>
  </si>
  <si>
    <t>Gent / Brussel / Antwerpen / Leuven</t>
  </si>
  <si>
    <t>Adres</t>
  </si>
  <si>
    <t>Koning Albertlaan 121, 9000 Gent</t>
  </si>
  <si>
    <t>Straat + nummer</t>
  </si>
  <si>
    <t>Wijk / buurt</t>
  </si>
  <si>
    <t>Nabij Gent-Sint-Pieters</t>
  </si>
  <si>
    <t>Afstand universiteit (km)</t>
  </si>
  <si>
    <t>In km, bv. 1.5</t>
  </si>
  <si>
    <t>Details afstand uni</t>
  </si>
  <si>
    <t>10 campussen &lt;10 min fiets, Mobiscore 9,4/10</t>
  </si>
  <si>
    <t>bv. 'Nabij campus Ardoyen'</t>
  </si>
  <si>
    <t>Afstand station (km)</t>
  </si>
  <si>
    <t>In km</t>
  </si>
  <si>
    <t>GPS Latitude</t>
  </si>
  <si>
    <t>bv. 51.0543</t>
  </si>
  <si>
    <t>GPS Longitude</t>
  </si>
  <si>
    <t>bv. 3.7174</t>
  </si>
  <si>
    <t>UNITS &amp; OPPERVLAKTE</t>
  </si>
  <si>
    <t>Totaal aantal units</t>
  </si>
  <si>
    <t>Getal</t>
  </si>
  <si>
    <t>Oppervlakte min (m²)</t>
  </si>
  <si>
    <t>Kleinste unit in m²</t>
  </si>
  <si>
    <t>Oppervlakte max (m²)</t>
  </si>
  <si>
    <t>Grootste unit in m²</t>
  </si>
  <si>
    <t>Unit types</t>
  </si>
  <si>
    <t>Type I Comfort (12m²), Type II Premium, Type III Luxe, Type IV Studio (21m²)</t>
  </si>
  <si>
    <t>Komma-gescheiden: studio, 1-slpk, 2-slpk, ...</t>
  </si>
  <si>
    <t>PRIJS</t>
  </si>
  <si>
    <t>Instapprijs excl. BTW (€)</t>
  </si>
  <si>
    <t>Laagste prijs</t>
  </si>
  <si>
    <t>Maximumprijs excl. BTW (€)</t>
  </si>
  <si>
    <t>Hoogste prijs</t>
  </si>
  <si>
    <t>BTW regime</t>
  </si>
  <si>
    <t>21% / 6% / nvt</t>
  </si>
  <si>
    <t>Meubelpakket inbegrepen?</t>
  </si>
  <si>
    <t>Meubelpakket prijs (€)</t>
  </si>
  <si>
    <t>Indien apart, prijs in EUR</t>
  </si>
  <si>
    <t>RENDEMENT</t>
  </si>
  <si>
    <t>Bruto rendement (%)</t>
  </si>
  <si>
    <t>±3,4%</t>
  </si>
  <si>
    <t>Zoals gecommuniceerd door ontwikkelaar</t>
  </si>
  <si>
    <t>Netto rendement (%)</t>
  </si>
  <si>
    <t>Na kosten, indien beschikbaar</t>
  </si>
  <si>
    <t>Gegarandeerd rendement?</t>
  </si>
  <si>
    <t>Ja</t>
  </si>
  <si>
    <t>Details garantie</t>
  </si>
  <si>
    <t>Huurgarantie eerste jaar</t>
  </si>
  <si>
    <t>bv. '3% gegarandeerd eerste 3 jaar'</t>
  </si>
  <si>
    <t>Huurprijs min (€/maand)</t>
  </si>
  <si>
    <t>Laagste maandelijkse huur</t>
  </si>
  <si>
    <t>Huurprijs max (€/maand)</t>
  </si>
  <si>
    <t>Hoogste maandelijkse huur</t>
  </si>
  <si>
    <t>BEHEER</t>
  </si>
  <si>
    <t>Beheer type</t>
  </si>
  <si>
    <t>extern_beheer</t>
  </si>
  <si>
    <t>eigen_beheer / extern_beheer / optioneel</t>
  </si>
  <si>
    <t>Beheerpartner</t>
  </si>
  <si>
    <t>Diggit</t>
  </si>
  <si>
    <t>Naam van de beheerder</t>
  </si>
  <si>
    <t>Beheerkost (%)</t>
  </si>
  <si>
    <t>Percentage van huur</t>
  </si>
  <si>
    <t>Beheerkost vast (€/maand)</t>
  </si>
  <si>
    <t>Indien vast bedrag</t>
  </si>
  <si>
    <t>Pooling systeem?</t>
  </si>
  <si>
    <t>Pooling details</t>
  </si>
  <si>
    <t>Uitleg pooling-systeem</t>
  </si>
  <si>
    <t>DUURZAAMHEID</t>
  </si>
  <si>
    <t>EPC label</t>
  </si>
  <si>
    <t>A / B / C / ...</t>
  </si>
  <si>
    <t>BREEAM certificering</t>
  </si>
  <si>
    <t>Excellent / Very Good / Good / ...</t>
  </si>
  <si>
    <t>Duurzaamheidskenmerken</t>
  </si>
  <si>
    <t>Energiezuinig, restauratie historische beaux-artsgevel</t>
  </si>
  <si>
    <t>Komma-gescheiden: zonnepanelen, warmtepomp, ...</t>
  </si>
  <si>
    <t>VOORZIENINGEN</t>
  </si>
  <si>
    <t>Gemeenschappelijke ruimtes</t>
  </si>
  <si>
    <t>Komma-gescheiden: studieruimte, fitness, fietsenstalling, ...</t>
  </si>
  <si>
    <t>USPs &amp; ANALYSE</t>
  </si>
  <si>
    <t>USP 1</t>
  </si>
  <si>
    <t>AAA-locatie nabij Gent-Sint-Pieters (Mobiscore 9,4/10)</t>
  </si>
  <si>
    <t>Belangrijkste verkoopargument</t>
  </si>
  <si>
    <t>USP 2</t>
  </si>
  <si>
    <t>Historische beaux-artsgevel, huurgarantie jaar 1</t>
  </si>
  <si>
    <t>USP 3</t>
  </si>
  <si>
    <t>Antonissen: 1.250+ appartementen gerealiseerd</t>
  </si>
  <si>
    <t>USP 4</t>
  </si>
  <si>
    <t>4 types (Comfort → Studio) — goed diversiteitsaanbod</t>
  </si>
  <si>
    <t>Zwakte 1</t>
  </si>
  <si>
    <t>€12.500 duurder dan TONDO (€165.000 vs €152.500)</t>
  </si>
  <si>
    <t>Belangrijk nadeel</t>
  </si>
  <si>
    <t>Zwakte 2</t>
  </si>
  <si>
    <t>Oplevering sept. 2027 — 1 jaar later dan TONDO</t>
  </si>
  <si>
    <t>Zwakte 3</t>
  </si>
  <si>
    <t>Kleinste units (Type I, 12m²) verkopen traag</t>
  </si>
  <si>
    <t>QUICK FACTS</t>
  </si>
  <si>
    <t>Quick fact 1</t>
  </si>
  <si>
    <t>110 units (88 kamers + 22 studio's) Koning Albertlaan</t>
  </si>
  <si>
    <t>Kort weetje voor de app</t>
  </si>
  <si>
    <t>Quick fact 2</t>
  </si>
  <si>
    <t>Instapprijs €165.000 — €12.500 duurder dan TONDO</t>
  </si>
  <si>
    <t>Quick fact 3</t>
  </si>
  <si>
    <t>Enige project met huurgarantie (jaar 1)</t>
  </si>
  <si>
    <t>Quick fact 4</t>
  </si>
  <si>
    <t>Quick fact 5</t>
  </si>
  <si>
    <t>Locatie ★★★★★ (AAA). Score: 4.2/5</t>
  </si>
  <si>
    <t>META</t>
  </si>
  <si>
    <t>Databronnen</t>
  </si>
  <si>
    <t>Competitor Analysis Gent Maart 2026</t>
  </si>
  <si>
    <t>Komma-gescheiden bronnen</t>
  </si>
  <si>
    <t>Laatst bijgewerkt</t>
  </si>
  <si>
    <t>2026-03-05</t>
  </si>
  <si>
    <t>Datum (YYYY-MM-DD)</t>
  </si>
  <si>
    <t>Opmerkingen</t>
  </si>
  <si>
    <t>Score 4.2/5. Discrepantie huurgarantie Type II (€720) vs. markthuur (€615).</t>
  </si>
  <si>
    <t>Vrije notities</t>
  </si>
  <si>
    <t>CANDOR COMPETITOR APP — DATA INVENTARIS</t>
  </si>
  <si>
    <t>Vul de data in op de tabbladen per project. Gele cellen = nog in te vullen. Groene cellen = al ingevuld.</t>
  </si>
  <si>
    <t>Project</t>
  </si>
  <si>
    <t>Candor?</t>
  </si>
  <si>
    <t>Type</t>
  </si>
  <si>
    <t>Ingevuld</t>
  </si>
  <si>
    <t>TONDO</t>
  </si>
  <si>
    <t>THE ROOT</t>
  </si>
  <si>
    <t>The Arch</t>
  </si>
  <si>
    <t>Studeopolis</t>
  </si>
  <si>
    <t>Brussel</t>
  </si>
  <si>
    <t>Kotter</t>
  </si>
  <si>
    <t>→ Kotter</t>
  </si>
  <si>
    <t>Upkot</t>
  </si>
  <si>
    <t>→ Upkot</t>
  </si>
  <si>
    <t>HOE INVULLEN</t>
  </si>
  <si>
    <t>1. Ga naar het tabblad van elk project</t>
  </si>
  <si>
    <t>2. Vul de gele cellen in met de juiste data</t>
  </si>
  <si>
    <t>3. Velden met rode tekst (TODO) zijn nog niet ingevuld</t>
  </si>
  <si>
    <t>4. Groene cellen bevatten al data — controleer of deze klopt</t>
  </si>
  <si>
    <t>5. Voor nieuwe projecten: kopieer een bestaand tabblad en pas aan</t>
  </si>
  <si>
    <t>6. Prioriteit: vul eerst TONDO volledig in, dan THE ROOT en The Albert</t>
  </si>
  <si>
    <t>LEGENDE</t>
  </si>
  <si>
    <t>Geel</t>
  </si>
  <si>
    <t>Groen</t>
  </si>
  <si>
    <t>Rood tekst</t>
  </si>
  <si>
    <t>TODO — ontbreekt nog</t>
  </si>
  <si>
    <t>🏠 TONDO  (CANDOR)</t>
  </si>
  <si>
    <t>Notes</t>
  </si>
  <si>
    <t>Candor</t>
  </si>
  <si>
    <t>Onroerend</t>
  </si>
  <si>
    <t>Gasmeterlaan 103 / (Tondelier-site)</t>
  </si>
  <si>
    <t>Tondelier park</t>
  </si>
  <si>
    <t xml:space="preserve">Nabij campus KU Leuven - Gent </t>
  </si>
  <si>
    <t>3,3km</t>
  </si>
  <si>
    <t>Kamer met gedeelde badkamer, kamer met privatieve badkamer</t>
  </si>
  <si>
    <t>Neen</t>
  </si>
  <si>
    <t>Meubelpakket prijs (€ excl btw)</t>
  </si>
  <si>
    <t>nvt</t>
  </si>
  <si>
    <t>Quota-gebaseerd via Diggit</t>
  </si>
  <si>
    <t>E peil E49</t>
  </si>
  <si>
    <t>Warmtenet</t>
  </si>
  <si>
    <t>Keuken, Fietsenstalling</t>
  </si>
  <si>
    <t>Deel van ontwikkelingsgebied</t>
  </si>
  <si>
    <t>Vroege oplevering</t>
  </si>
  <si>
    <t>Bewezen beheerpartner Diggit + 35 jaar ervaring ontwikkelaar</t>
  </si>
  <si>
    <t>Geen huurgarantie (vs. The Albert jaar 1)</t>
  </si>
  <si>
    <t>80 studentenkamers op de Tondelier-site, Gent</t>
  </si>
  <si>
    <t>Startprijs €152.500 — 2e laagste in de Gentse markt</t>
  </si>
  <si>
    <t>Oplevering sept. 2026 — snelste na The Arch (aug. 2026)</t>
  </si>
  <si>
    <t>🏢 THE ROOT</t>
  </si>
  <si>
    <t>MM Estate Group</t>
  </si>
  <si>
    <t>roerend</t>
  </si>
  <si>
    <t>2026</t>
  </si>
  <si>
    <t>Gestichtstraat, Zwijnaarde</t>
  </si>
  <si>
    <t>Zwijnaarde</t>
  </si>
  <si>
    <t>HOGENT Vesalius 900m, UGent Sterre 1,6km</t>
  </si>
  <si>
    <t>Basis (12-13m²), Comfort (15m², UITVERKOCHT), Ruime Studio (21-35m²)</t>
  </si>
  <si>
    <t>21% btw</t>
  </si>
  <si>
    <t>n.b.</t>
  </si>
  <si>
    <t>Nog aan te stellen</t>
  </si>
  <si>
    <t>A+</t>
  </si>
  <si>
    <t>EPC A+</t>
  </si>
  <si>
    <t>Groene, rustige omgeving nabij Technologiepark Zwijnaarde</t>
  </si>
  <si>
    <t>75% reeds verkocht</t>
  </si>
  <si>
    <t>Nabij HOGENT Vesalius (900m)</t>
  </si>
  <si>
    <t>Perifere ligging Zwijnaarde — ver van centrum</t>
  </si>
  <si>
    <t>Hoge prijs/m² (€12.500-€13.542/m²)</t>
  </si>
  <si>
    <t>Jonge ontwikkelaar (2021), beheerder onbekend</t>
  </si>
  <si>
    <t>93 studentenkamers in Zwijnaarde, Gent</t>
  </si>
  <si>
    <t>Instapprijs €162.500 — €10.000 duurder dan TONDO</t>
  </si>
  <si>
    <t>75% verkocht, Comfort-type uitverkocht</t>
  </si>
  <si>
    <t>Beheerder nog aan te stellen</t>
  </si>
  <si>
    <t>Locatie ★★★☆☆. Score: 2.8/5 (laagste)</t>
  </si>
  <si>
    <t>Score 2.8/5 (laagste). Immogra 530 units vormt bedreiging zone Zwijnaarde.</t>
  </si>
  <si>
    <t>🏢 The Arch</t>
  </si>
  <si>
    <t>Augustus 2026</t>
  </si>
  <si>
    <t>Martelaarslaan 250, 9000 Gent</t>
  </si>
  <si>
    <t>Centrum (Martelaarslaan)</t>
  </si>
  <si>
    <t>UGent Coupure 750m, HOGENT Mercator 850m</t>
  </si>
  <si>
    <t>Basiskamer (12-15m²), Ruime studio (21-33m²)</t>
  </si>
  <si>
    <t>3,0-3,9%</t>
  </si>
  <si>
    <t>Nog te bevestigen (Diggit genoemd)</t>
  </si>
  <si>
    <t>Modern, EPC A+</t>
  </si>
  <si>
    <t>Uitstekende centrumlocatie Martelaarslaan</t>
  </si>
  <si>
    <t>UGent 750m, HOGENT 850m — wandelafstand</t>
  </si>
  <si>
    <t>±90% verkocht — sterk marktvertrouwen</t>
  </si>
  <si>
    <t>Beperkte schaal (59 units — kleinste project)</t>
  </si>
  <si>
    <t>Beheerder nog niet definitief bevestigd</t>
  </si>
  <si>
    <t>Hoge prijs/m², jonge ontwikkelaar (2021)</t>
  </si>
  <si>
    <t>59 units (50 kamers + 9 studio's) Martelaarslaan</t>
  </si>
  <si>
    <t>€167.500 instap — €15.000 duurder dan TONDO</t>
  </si>
  <si>
    <t>±90% verkocht — bijna uitverkocht</t>
  </si>
  <si>
    <t>Aug. 2026 — snelste oplevering</t>
  </si>
  <si>
    <t>Locatie ★★★★★. Score: 3.5/5</t>
  </si>
  <si>
    <t>Score 3.5/5. 21% btw (minder gunstig). Basiskamers zonder eigen sanitair.</t>
  </si>
  <si>
    <t>🏢 Studeopolis</t>
  </si>
  <si>
    <t>opgeleverd</t>
  </si>
  <si>
    <t>🏢 Kotter</t>
  </si>
  <si>
    <t>Steenoven / Alheembouw</t>
  </si>
  <si>
    <t>Academiejaar 2027-2028</t>
  </si>
  <si>
    <t>Ottergemsesteenweg, 9000 Gent (voormalige CEVI-site)</t>
  </si>
  <si>
    <t>Ottergemsesteenweg (nabij E40/E17)</t>
  </si>
  <si>
    <t>Nabij UZ Gent</t>
  </si>
  <si>
    <t>Kamer met wastafel (15m²), Kamer eigen sanitair (17,5m²), Studio (27m²)</t>
  </si>
  <si>
    <t>12% RR (herbestemming kantoorgebouw)</t>
  </si>
  <si>
    <t>Te bevestigen</t>
  </si>
  <si>
    <t>Diggit StudentLife</t>
  </si>
  <si>
    <t>Hergebruik structuur, prefab gevelelementen, duurzaam</t>
  </si>
  <si>
    <t>12 gemeenschappelijke leefruimtes, 4 maakateliers</t>
  </si>
  <si>
    <t>Laagste instapprijs markt (€149.500)</t>
  </si>
  <si>
    <t>12% RR i.p.v. 21% btw — fiscaal voordeel (herbestemming)</t>
  </si>
  <si>
    <t>Ervaren ontwikkelaar (30+ jaar), Diggit beheer</t>
  </si>
  <si>
    <t>126 units schaalvoordeel, 12 leefruimtes + 4 maakateliers</t>
  </si>
  <si>
    <t>Minder centrale ligging (Ottergemsesteenweg, nabij E40/E17)</t>
  </si>
  <si>
    <t>Oplevering pas 2027-2028 — langste wachttijd</t>
  </si>
  <si>
    <t>Minder nabij klassieke studentenbuurten</t>
  </si>
  <si>
    <t>126 kamers op voormalige CEVI-site</t>
  </si>
  <si>
    <t>Laagste instapprijs: €149.500 (€3.000 goedkoper dan TONDO)</t>
  </si>
  <si>
    <t>12% registratierechten — fiscaal voordeel</t>
  </si>
  <si>
    <t>12 leefruimtes + 4 maakateliers</t>
  </si>
  <si>
    <t>Locatie ★★★★☆. Score: 4.25/5 (gedeeld hoogste)</t>
  </si>
  <si>
    <t>Score 4.25/5 (gedeeld hoogste). Fiscaal voordeel significant.</t>
  </si>
  <si>
    <t>🏢 Upkot</t>
  </si>
  <si>
    <t>Upkot (Upgrade Estate)</t>
  </si>
  <si>
    <t>Upgrade Estate</t>
  </si>
  <si>
    <t>Operationeel (diverse projecten)</t>
  </si>
  <si>
    <t>Diverse (Bro, Wing, Campus, Hey Upkot — The Loop en centrum)</t>
  </si>
  <si>
    <t>Diverse (The Loop, centrum Gent)</t>
  </si>
  <si>
    <t>300+ (311 alleen Bro Upkot)</t>
  </si>
  <si>
    <t>Participatiemodel — aandelen, geen individuele units</t>
  </si>
  <si>
    <t>n.v.t. (participatiemodel)</t>
  </si>
  <si>
    <t>2,4% netto (Wing Upkot)</t>
  </si>
  <si>
    <t>2,4% (Wing Upkot, 89 kamers)</t>
  </si>
  <si>
    <t>Via UGent verhuur</t>
  </si>
  <si>
    <t>eigen_beheer</t>
  </si>
  <si>
    <t>Eigen beheer (Upkot)</t>
  </si>
  <si>
    <t>Duurzaam concept</t>
  </si>
  <si>
    <t>Marktleider 25+ jaar, bewezen concept</t>
  </si>
  <si>
    <t>Lage instapdrempel €110.000 (participatie)</t>
  </si>
  <si>
    <t>Schaalvoordelen, volledig eigen beheer</t>
  </si>
  <si>
    <t>Verhuurgarantie via UGent-partnerships</t>
  </si>
  <si>
    <t>Geen direct eigenaarschap specifieke unit</t>
  </si>
  <si>
    <t>Lager netto rendement (2,4%)</t>
  </si>
  <si>
    <t>Minder transparantie, niet vergelijkbaar met unit-model</t>
  </si>
  <si>
    <t>300+ kamers Gent via participatiemodel</t>
  </si>
  <si>
    <t>Instap €110.000 — laagste, maar geen directe unit</t>
  </si>
  <si>
    <t>Netto 2,4% (Wing) — lager dan klassieke projecten</t>
  </si>
  <si>
    <t>Marktleider: 25+ jaar ervaring</t>
  </si>
  <si>
    <t>Score: 4.25/5 (gedeeld hoogste)</t>
  </si>
  <si>
    <t>Participatiemodel — niet direct vergelijkbaar. Score 4.25/5.</t>
  </si>
  <si>
    <t>3%-3,5%</t>
  </si>
  <si>
    <t>2,5%-3%</t>
  </si>
  <si>
    <t>Locatie tov Centrum</t>
  </si>
  <si>
    <t>Locatie voor meerwaarde</t>
  </si>
  <si>
    <t>BEN-gebouw met warmtenet, groendak</t>
  </si>
  <si>
    <t>Beheerd door Diggit (pooling-systeem)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</si>
</sst>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9" x14ac:knownFonts="1">
    <font>
      <sz val="11"/>
      <color theme="1"/>
      <name val="Calibri"/>
      <family val="2"/>
      <scheme val="minor"/>
    </font>
    <font>
      <b/>
      <sz val="14"/>
      <color rgb="FF1B3A5C"/>
      <name val="Arial"/>
    </font>
    <font>
      <i/>
      <sz val="9"/>
      <color rgb="FF7F8C8D"/>
      <name val="Arial"/>
    </font>
    <font>
      <b/>
      <sz val="11"/>
      <color rgb="FFFFFFFF"/>
      <name val="Arial"/>
    </font>
    <font>
      <sz val="10"/>
      <color rgb="FF2C3E50"/>
      <name val="Arial"/>
    </font>
    <font>
      <b/>
      <sz val="10"/>
      <color rgb="FF1B3A5C"/>
      <name val="Arial"/>
    </font>
    <font>
      <b/>
      <sz val="10"/>
      <color rgb="FF2C3E50"/>
      <name val="Arial"/>
    </font>
    <font>
      <b/>
      <sz val="10"/>
      <color rgb="FFCC0000"/>
      <name val="Arial"/>
    </font>
    <font>
      <sz val="10"/>
      <color rgb="FF000000"/>
      <name val="Arial"/>
    </font>
    <font>
      <i/>
      <sz val="10"/>
      <color rgb="FFCC0000"/>
      <name val="Arial"/>
    </font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4"/>
      <color rgb="FF1B3A5C"/>
      <name val="Arial"/>
    </font>
    <font>
      <b/>
      <sz val="11"/>
      <color rgb="FFFFFFFF"/>
      <name val="Arial"/>
    </font>
    <font>
      <b/>
      <sz val="10"/>
      <color rgb="FF1B3A5C"/>
      <name val="Arial"/>
    </font>
    <font>
      <sz val="10"/>
      <color rgb="FF2C3E50"/>
      <name val="Arial"/>
    </font>
    <font>
      <i/>
      <sz val="9"/>
      <color rgb="FF7F8C8D"/>
      <name val="Arial"/>
    </font>
    <font>
      <i/>
      <sz val="10"/>
      <color rgb="FFCC0000"/>
      <name val="Arial"/>
    </font>
    <font>
      <u/>
      <sz val="10"/>
      <color rgb="FF2E86AB"/>
      <name val="Arial"/>
    </font>
  </fonts>
  <fills count="1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D5F5E3"/>
      </patternFill>
    </fill>
    <fill>
      <patternFill patternType="solid">
        <fgColor rgb="FF1B3A5C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FEF9E7"/>
      </patternFill>
    </fill>
  </fills>
  <borders count="7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44" fontId="10" fillId="0" borderId="0"/>
  </cellStyleXfs>
  <cellXfs count="4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4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14" fontId="9" fillId="3" borderId="1" xfId="0" applyNumberFormat="1" applyFont="1" applyFill="1" applyBorder="1" applyAlignment="1">
      <alignment horizontal="left" vertical="center" wrapText="1"/>
    </xf>
    <xf numFmtId="44" fontId="9" fillId="3" borderId="1" xfId="1" applyFont="1" applyFill="1" applyBorder="1" applyAlignment="1">
      <alignment horizontal="left" vertical="center" wrapText="1"/>
    </xf>
    <xf numFmtId="9" fontId="9" fillId="3" borderId="1" xfId="0" applyNumberFormat="1" applyFont="1" applyFill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 wrapText="1"/>
    </xf>
    <xf numFmtId="9" fontId="15" fillId="0" borderId="6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left" vertical="center" wrapText="1"/>
    </xf>
    <xf numFmtId="0" fontId="11" fillId="8" borderId="6" xfId="0" applyFont="1" applyFill="1" applyBorder="1" applyAlignment="1">
      <alignment horizontal="left" vertical="center" wrapText="1"/>
    </xf>
    <xf numFmtId="0" fontId="16" fillId="12" borderId="6" xfId="0" applyFont="1" applyFill="1" applyBorder="1" applyAlignment="1">
      <alignment horizontal="left" vertical="center" wrapText="1"/>
    </xf>
    <xf numFmtId="0" fontId="17" fillId="13" borderId="6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/>
    <xf numFmtId="0" fontId="5" fillId="0" borderId="0" xfId="0" applyFont="1"/>
    <xf numFmtId="0" fontId="6" fillId="4" borderId="0" xfId="0" applyFont="1" applyFill="1"/>
    <xf numFmtId="0" fontId="6" fillId="3" borderId="0" xfId="0" applyFont="1" applyFill="1"/>
    <xf numFmtId="0" fontId="14" fillId="10" borderId="6" xfId="0" applyFont="1" applyFill="1" applyBorder="1" applyAlignment="1">
      <alignment horizontal="left" vertical="center" wrapText="1"/>
    </xf>
    <xf numFmtId="0" fontId="0" fillId="10" borderId="6" xfId="0" applyFill="1" applyBorder="1"/>
    <xf numFmtId="0" fontId="12" fillId="0" borderId="0" xfId="0" applyFont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44" fontId="10" fillId="0" borderId="0" xfId="1"/>
  </cellXfs>
  <cellStyles count="2">
    <cellStyle name="Currency" xfId="1" builtinId="4"/>
    <cellStyle name="Normal" xfId="0" builtinId="0"/>
  </cellStyles>
  <dxfs count="6">
    <dxf>
      <fill>
        <patternFill patternType="solid">
          <fgColor indexed="64"/>
          <bgColor rgb="FFD5F5E3"/>
        </patternFill>
      </fill>
    </dxf>
    <dxf>
      <fill>
        <patternFill patternType="solid">
          <fgColor indexed="64"/>
          <bgColor rgb="FFD5F5E3"/>
        </patternFill>
      </fill>
    </dxf>
    <dxf>
      <fill>
        <patternFill patternType="solid">
          <fgColor indexed="64"/>
          <bgColor rgb="FFD5F5E3"/>
        </patternFill>
      </fill>
    </dxf>
    <dxf>
      <fill>
        <patternFill patternType="solid">
          <fgColor indexed="64"/>
          <bgColor rgb="FFD5F5E3"/>
        </patternFill>
      </fill>
    </dxf>
    <dxf>
      <fill>
        <patternFill patternType="solid">
          <fgColor indexed="64"/>
          <bgColor rgb="FFD5F5E3"/>
        </patternFill>
      </fill>
    </dxf>
    <dxf>
      <fill>
        <patternFill patternType="solid">
          <fgColor indexed="64"/>
          <bgColor rgb="FFD5F5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F24"/>
  <sheetViews>
    <sheetView zoomScale="145" zoomScaleNormal="145" workbookViewId="0">
      <selection activeCell="A14" sqref="A14:F14"/>
    </sheetView>
  </sheetViews>
  <sheetFormatPr defaultRowHeight="15" x14ac:dyDescent="0.25"/>
  <cols>
    <col min="1" max="1" width="22" customWidth="1"/>
    <col min="2" max="2" width="12" customWidth="1"/>
    <col min="3" max="3" width="14" customWidth="1"/>
    <col min="4" max="4" width="16" customWidth="1"/>
    <col min="5" max="5" width="12" customWidth="1"/>
    <col min="6" max="6" width="18" customWidth="1"/>
  </cols>
  <sheetData>
    <row r="1" spans="1:6" ht="35.1" customHeight="1" x14ac:dyDescent="0.25">
      <c r="A1" s="29" t="s">
        <v>147</v>
      </c>
      <c r="B1" s="30"/>
      <c r="C1" s="30"/>
      <c r="D1" s="30"/>
      <c r="E1" s="30"/>
      <c r="F1" s="30"/>
    </row>
    <row r="2" spans="1:6" ht="20.100000000000001" customHeight="1" x14ac:dyDescent="0.25">
      <c r="A2" s="31" t="s">
        <v>148</v>
      </c>
      <c r="B2" s="30"/>
      <c r="C2" s="30"/>
      <c r="D2" s="30"/>
      <c r="E2" s="30"/>
      <c r="F2" s="30"/>
    </row>
    <row r="4" spans="1:6" x14ac:dyDescent="0.25">
      <c r="A4" s="2" t="s">
        <v>149</v>
      </c>
      <c r="B4" s="2" t="s">
        <v>150</v>
      </c>
      <c r="C4" s="2" t="s">
        <v>30</v>
      </c>
      <c r="D4" s="2" t="s">
        <v>151</v>
      </c>
      <c r="E4" s="2" t="s">
        <v>152</v>
      </c>
    </row>
    <row r="5" spans="1:6" x14ac:dyDescent="0.25">
      <c r="A5" s="3" t="s">
        <v>153</v>
      </c>
      <c r="B5" s="3" t="s">
        <v>76</v>
      </c>
      <c r="C5" s="3" t="s">
        <v>31</v>
      </c>
      <c r="D5" s="3" t="s">
        <v>16</v>
      </c>
      <c r="E5" s="4">
        <f>(COUNTA(TONDO!B5:B68)-COUNTIF(TONDO!B5:B68,"TODO")-COUNTA(TONDO!B14,TONDO!B23,TONDO!B28,TONDO!B34,TONDO!B41,TONDO!B48,TONDO!B52,TONDO!B54,TONDO!B62,TONDO!B68))/(64-10)</f>
        <v>0.7407407407407407</v>
      </c>
    </row>
    <row r="6" spans="1:6" x14ac:dyDescent="0.25">
      <c r="A6" s="3" t="s">
        <v>154</v>
      </c>
      <c r="B6" s="3" t="s">
        <v>13</v>
      </c>
      <c r="C6" s="3" t="s">
        <v>31</v>
      </c>
      <c r="D6" s="3" t="s">
        <v>16</v>
      </c>
      <c r="E6" s="4">
        <f>(COUNTA('THE ROOT'!B5:B67)-COUNTIF('THE ROOT'!B5:B67,"TODO")-COUNTA('THE ROOT'!B13,'THE ROOT'!B22,'THE ROOT'!B27,'THE ROOT'!B33,'THE ROOT'!B40,'THE ROOT'!B47,'THE ROOT'!B51,'THE ROOT'!B53,'THE ROOT'!B61,'THE ROOT'!B67))/(64-10)</f>
        <v>0.68518518518518523</v>
      </c>
    </row>
    <row r="7" spans="1:6" x14ac:dyDescent="0.25">
      <c r="A7" s="3" t="s">
        <v>6</v>
      </c>
      <c r="B7" s="3" t="s">
        <v>13</v>
      </c>
      <c r="C7" s="3" t="s">
        <v>31</v>
      </c>
      <c r="D7" s="3" t="s">
        <v>16</v>
      </c>
      <c r="E7" s="4">
        <f>(COUNTA('The Albert'!B5:B65)-COUNTIF('The Albert'!B5:B65,"TODO")-COUNTA('The Albert'!B13,'The Albert'!B20,'The Albert'!B25,'The Albert'!B31,'The Albert'!B38,'The Albert'!B45,'The Albert'!B49,'The Albert'!B51,'The Albert'!B59,'The Albert'!B65))/(64-10)</f>
        <v>0.72222222222222221</v>
      </c>
    </row>
    <row r="8" spans="1:6" x14ac:dyDescent="0.25">
      <c r="A8" s="3" t="s">
        <v>155</v>
      </c>
      <c r="B8" s="3" t="s">
        <v>13</v>
      </c>
      <c r="C8" s="3" t="s">
        <v>31</v>
      </c>
      <c r="D8" s="3" t="s">
        <v>16</v>
      </c>
      <c r="E8" s="4">
        <f>(COUNTA('The Arch'!B5:B68)-COUNTIF('The Arch'!B5:B68,"TODO")-COUNTA('The Arch'!B14,'The Arch'!B23,'The Arch'!B28,'The Arch'!B34,'The Arch'!B41,'The Arch'!B48,'The Arch'!B52,'The Arch'!B54,'The Arch'!B62,'The Arch'!B68))/(64-10)</f>
        <v>0.64814814814814814</v>
      </c>
    </row>
    <row r="9" spans="1:6" x14ac:dyDescent="0.25">
      <c r="A9" s="3" t="s">
        <v>156</v>
      </c>
      <c r="B9" s="3" t="s">
        <v>13</v>
      </c>
      <c r="C9" s="3" t="s">
        <v>157</v>
      </c>
      <c r="D9" s="3" t="s">
        <v>16</v>
      </c>
      <c r="E9" s="4">
        <f>(COUNTA(Studeopolis!B5:B68)-COUNTIF(Studeopolis!B5:B68,"TODO")-COUNTA(Studeopolis!B14,Studeopolis!B23,Studeopolis!B28,Studeopolis!B34,Studeopolis!B41,Studeopolis!B48,Studeopolis!B52,Studeopolis!B54,Studeopolis!B62,Studeopolis!B68))/(64-10)</f>
        <v>0.1111111111111111</v>
      </c>
    </row>
    <row r="10" spans="1:6" x14ac:dyDescent="0.25">
      <c r="A10" s="17" t="s">
        <v>158</v>
      </c>
      <c r="B10" s="17" t="s">
        <v>13</v>
      </c>
      <c r="C10" s="17" t="s">
        <v>31</v>
      </c>
      <c r="D10" s="17" t="s">
        <v>16</v>
      </c>
      <c r="E10" s="18">
        <v>0.66666666666666663</v>
      </c>
      <c r="F10" s="19" t="s">
        <v>159</v>
      </c>
    </row>
    <row r="11" spans="1:6" x14ac:dyDescent="0.25">
      <c r="A11" s="17" t="s">
        <v>160</v>
      </c>
      <c r="B11" s="17" t="s">
        <v>13</v>
      </c>
      <c r="C11" s="17" t="s">
        <v>31</v>
      </c>
      <c r="D11" s="17" t="s">
        <v>16</v>
      </c>
      <c r="E11" s="18">
        <v>0.63157894736842102</v>
      </c>
      <c r="F11" s="19" t="s">
        <v>161</v>
      </c>
    </row>
    <row r="13" spans="1:6" x14ac:dyDescent="0.25">
      <c r="A13" s="32" t="s">
        <v>162</v>
      </c>
      <c r="B13" s="30"/>
      <c r="C13" s="30"/>
      <c r="D13" s="30"/>
      <c r="E13" s="30"/>
      <c r="F13" s="30"/>
    </row>
    <row r="14" spans="1:6" x14ac:dyDescent="0.25">
      <c r="A14" s="31" t="s">
        <v>163</v>
      </c>
      <c r="B14" s="30"/>
      <c r="C14" s="30"/>
      <c r="D14" s="30"/>
      <c r="E14" s="30"/>
      <c r="F14" s="30"/>
    </row>
    <row r="15" spans="1:6" x14ac:dyDescent="0.25">
      <c r="A15" s="31" t="s">
        <v>164</v>
      </c>
      <c r="B15" s="30"/>
      <c r="C15" s="30"/>
      <c r="D15" s="30"/>
      <c r="E15" s="30"/>
      <c r="F15" s="30"/>
    </row>
    <row r="16" spans="1:6" x14ac:dyDescent="0.25">
      <c r="A16" s="31" t="s">
        <v>165</v>
      </c>
      <c r="B16" s="30"/>
      <c r="C16" s="30"/>
      <c r="D16" s="30"/>
      <c r="E16" s="30"/>
      <c r="F16" s="30"/>
    </row>
    <row r="17" spans="1:6" x14ac:dyDescent="0.25">
      <c r="A17" s="31" t="s">
        <v>166</v>
      </c>
      <c r="B17" s="30"/>
      <c r="C17" s="30"/>
      <c r="D17" s="30"/>
      <c r="E17" s="30"/>
      <c r="F17" s="30"/>
    </row>
    <row r="18" spans="1:6" x14ac:dyDescent="0.25">
      <c r="A18" s="31" t="s">
        <v>167</v>
      </c>
      <c r="B18" s="30"/>
      <c r="C18" s="30"/>
      <c r="D18" s="30"/>
      <c r="E18" s="30"/>
      <c r="F18" s="30"/>
    </row>
    <row r="19" spans="1:6" x14ac:dyDescent="0.25">
      <c r="A19" s="31" t="s">
        <v>168</v>
      </c>
      <c r="B19" s="30"/>
      <c r="C19" s="30"/>
      <c r="D19" s="30"/>
      <c r="E19" s="30"/>
      <c r="F19" s="30"/>
    </row>
    <row r="20" spans="1:6" x14ac:dyDescent="0.25">
      <c r="A20" s="30"/>
      <c r="B20" s="30"/>
      <c r="C20" s="30"/>
      <c r="D20" s="30"/>
      <c r="E20" s="30"/>
      <c r="F20" s="30"/>
    </row>
    <row r="21" spans="1:6" x14ac:dyDescent="0.25">
      <c r="A21" s="32" t="s">
        <v>169</v>
      </c>
      <c r="B21" s="30"/>
      <c r="C21" s="30"/>
      <c r="D21" s="30"/>
      <c r="E21" s="30"/>
      <c r="F21" s="30"/>
    </row>
    <row r="22" spans="1:6" x14ac:dyDescent="0.25">
      <c r="A22" s="34" t="s">
        <v>170</v>
      </c>
      <c r="B22" s="30"/>
      <c r="C22" s="30"/>
      <c r="D22" s="30"/>
      <c r="E22" s="30"/>
      <c r="F22" s="30"/>
    </row>
    <row r="23" spans="1:6" x14ac:dyDescent="0.25">
      <c r="A23" s="33" t="s">
        <v>171</v>
      </c>
      <c r="B23" s="30"/>
      <c r="C23" s="30"/>
      <c r="D23" s="30"/>
      <c r="E23" s="30"/>
      <c r="F23" s="30"/>
    </row>
    <row r="24" spans="1:6" x14ac:dyDescent="0.25">
      <c r="A24" s="5" t="s">
        <v>172</v>
      </c>
      <c r="B24" s="1" t="s">
        <v>173</v>
      </c>
    </row>
  </sheetData>
  <mergeCells count="13">
    <mergeCell ref="A1:F1"/>
    <mergeCell ref="A23:F23"/>
    <mergeCell ref="A22:F22"/>
    <mergeCell ref="A17:F17"/>
    <mergeCell ref="A18:F18"/>
    <mergeCell ref="A20:F20"/>
    <mergeCell ref="A21:F21"/>
    <mergeCell ref="A15:F15"/>
    <mergeCell ref="A2:F2"/>
    <mergeCell ref="A16:F16"/>
    <mergeCell ref="A19:F19"/>
    <mergeCell ref="A14:F14"/>
    <mergeCell ref="A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D68"/>
  <sheetViews>
    <sheetView zoomScale="130" zoomScaleNormal="130" workbookViewId="0">
      <pane ySplit="3" topLeftCell="A4" activePane="bottomLeft" state="frozen"/>
      <selection pane="bottomLeft" activeCell="B28" sqref="B28"/>
    </sheetView>
  </sheetViews>
  <sheetFormatPr defaultRowHeight="15" x14ac:dyDescent="0.25"/>
  <cols>
    <col min="1" max="1" width="35" customWidth="1"/>
    <col min="2" max="3" width="40" customWidth="1"/>
    <col min="4" max="4" width="18" customWidth="1"/>
  </cols>
  <sheetData>
    <row r="1" spans="1:4" ht="35.1" customHeight="1" x14ac:dyDescent="0.25">
      <c r="A1" s="29" t="s">
        <v>174</v>
      </c>
      <c r="B1" s="30"/>
      <c r="C1" s="30"/>
    </row>
    <row r="3" spans="1:4" x14ac:dyDescent="0.25">
      <c r="A3" s="2" t="s">
        <v>1</v>
      </c>
      <c r="B3" s="2" t="s">
        <v>2</v>
      </c>
      <c r="C3" s="2" t="s">
        <v>3</v>
      </c>
      <c r="D3" s="10" t="s">
        <v>175</v>
      </c>
    </row>
    <row r="4" spans="1:4" ht="24.95" customHeight="1" x14ac:dyDescent="0.25">
      <c r="A4" s="11" t="s">
        <v>4</v>
      </c>
      <c r="B4" s="12"/>
      <c r="C4" s="13"/>
      <c r="D4" s="11"/>
    </row>
    <row r="5" spans="1:4" ht="21.95" customHeight="1" x14ac:dyDescent="0.25">
      <c r="A5" s="6" t="s">
        <v>5</v>
      </c>
      <c r="B5" s="7" t="s">
        <v>153</v>
      </c>
      <c r="C5" s="8"/>
      <c r="D5" s="8"/>
    </row>
    <row r="6" spans="1:4" ht="21.95" customHeight="1" x14ac:dyDescent="0.25">
      <c r="A6" s="6" t="s">
        <v>7</v>
      </c>
      <c r="B6" s="7" t="s">
        <v>176</v>
      </c>
      <c r="C6" s="8"/>
      <c r="D6" s="8"/>
    </row>
    <row r="7" spans="1:4" ht="21.95" customHeight="1" x14ac:dyDescent="0.25">
      <c r="A7" s="6" t="s">
        <v>12</v>
      </c>
      <c r="B7" s="7" t="s">
        <v>76</v>
      </c>
      <c r="C7" s="8" t="s">
        <v>14</v>
      </c>
      <c r="D7" s="8"/>
    </row>
    <row r="8" spans="1:4" ht="21.95" customHeight="1" x14ac:dyDescent="0.25">
      <c r="A8" s="6" t="s">
        <v>15</v>
      </c>
      <c r="B8" s="7" t="s">
        <v>16</v>
      </c>
      <c r="C8" s="8" t="s">
        <v>17</v>
      </c>
      <c r="D8" s="8"/>
    </row>
    <row r="9" spans="1:4" ht="21.95" customHeight="1" x14ac:dyDescent="0.25">
      <c r="A9" s="6" t="s">
        <v>18</v>
      </c>
      <c r="B9" s="9" t="s">
        <v>177</v>
      </c>
      <c r="C9" s="8" t="s">
        <v>20</v>
      </c>
      <c r="D9" s="8"/>
    </row>
    <row r="10" spans="1:4" ht="21.95" customHeight="1" x14ac:dyDescent="0.25">
      <c r="A10" s="6" t="s">
        <v>21</v>
      </c>
      <c r="B10" s="7" t="s">
        <v>22</v>
      </c>
      <c r="C10" s="8" t="s">
        <v>23</v>
      </c>
      <c r="D10" s="8"/>
    </row>
    <row r="11" spans="1:4" ht="21.95" customHeight="1" x14ac:dyDescent="0.25">
      <c r="A11" s="6" t="s">
        <v>24</v>
      </c>
      <c r="B11" s="14">
        <v>46266</v>
      </c>
      <c r="C11" s="8" t="s">
        <v>26</v>
      </c>
      <c r="D11" s="8"/>
    </row>
    <row r="12" spans="1:4" ht="21.95" customHeight="1" x14ac:dyDescent="0.25">
      <c r="A12" s="6" t="s">
        <v>27</v>
      </c>
      <c r="B12" s="14">
        <v>45948</v>
      </c>
      <c r="C12" s="8" t="s">
        <v>28</v>
      </c>
      <c r="D12" s="8"/>
    </row>
    <row r="13" spans="1:4" ht="24.95" customHeight="1" x14ac:dyDescent="0.25">
      <c r="A13" s="26" t="s">
        <v>29</v>
      </c>
      <c r="B13" s="27"/>
      <c r="C13" s="28"/>
    </row>
    <row r="14" spans="1:4" ht="21.95" customHeight="1" x14ac:dyDescent="0.25">
      <c r="A14" s="6" t="s">
        <v>30</v>
      </c>
      <c r="B14" s="7" t="s">
        <v>31</v>
      </c>
      <c r="C14" s="8" t="s">
        <v>32</v>
      </c>
    </row>
    <row r="15" spans="1:4" ht="21.95" customHeight="1" x14ac:dyDescent="0.25">
      <c r="A15" s="6" t="s">
        <v>33</v>
      </c>
      <c r="B15" s="7" t="s">
        <v>178</v>
      </c>
      <c r="C15" s="8" t="s">
        <v>35</v>
      </c>
    </row>
    <row r="16" spans="1:4" ht="21.95" customHeight="1" x14ac:dyDescent="0.25">
      <c r="A16" s="6" t="s">
        <v>36</v>
      </c>
      <c r="B16" s="7" t="s">
        <v>179</v>
      </c>
      <c r="C16" s="8"/>
    </row>
    <row r="17" spans="1:3" ht="21.95" customHeight="1" x14ac:dyDescent="0.25">
      <c r="A17" s="6" t="s">
        <v>38</v>
      </c>
      <c r="B17" s="9">
        <v>0.45</v>
      </c>
      <c r="C17" s="8" t="s">
        <v>39</v>
      </c>
    </row>
    <row r="18" spans="1:3" ht="21.95" customHeight="1" x14ac:dyDescent="0.25">
      <c r="A18" s="6" t="s">
        <v>40</v>
      </c>
      <c r="B18" s="9" t="s">
        <v>180</v>
      </c>
      <c r="C18" s="8" t="s">
        <v>42</v>
      </c>
    </row>
    <row r="19" spans="1:3" ht="21.95" customHeight="1" x14ac:dyDescent="0.25">
      <c r="A19" s="6" t="s">
        <v>43</v>
      </c>
      <c r="B19" s="9" t="s">
        <v>181</v>
      </c>
      <c r="C19" s="8" t="s">
        <v>44</v>
      </c>
    </row>
    <row r="20" spans="1:3" ht="24.95" customHeight="1" x14ac:dyDescent="0.25">
      <c r="A20" s="26" t="s">
        <v>49</v>
      </c>
      <c r="B20" s="27"/>
      <c r="C20" s="28"/>
    </row>
    <row r="21" spans="1:3" ht="21.95" customHeight="1" x14ac:dyDescent="0.25">
      <c r="A21" s="6" t="s">
        <v>50</v>
      </c>
      <c r="B21" s="7">
        <v>80</v>
      </c>
      <c r="C21" s="8" t="s">
        <v>51</v>
      </c>
    </row>
    <row r="22" spans="1:3" ht="21.95" customHeight="1" x14ac:dyDescent="0.25">
      <c r="A22" s="6" t="s">
        <v>52</v>
      </c>
      <c r="B22" s="9">
        <v>15</v>
      </c>
      <c r="C22" s="8" t="s">
        <v>53</v>
      </c>
    </row>
    <row r="23" spans="1:3" ht="21.95" customHeight="1" x14ac:dyDescent="0.25">
      <c r="A23" s="6" t="s">
        <v>54</v>
      </c>
      <c r="B23" s="9">
        <v>22</v>
      </c>
      <c r="C23" s="8" t="s">
        <v>55</v>
      </c>
    </row>
    <row r="24" spans="1:3" ht="21.95" customHeight="1" x14ac:dyDescent="0.25">
      <c r="A24" s="6" t="s">
        <v>56</v>
      </c>
      <c r="B24" s="9" t="s">
        <v>182</v>
      </c>
      <c r="C24" s="8" t="s">
        <v>58</v>
      </c>
    </row>
    <row r="25" spans="1:3" ht="24.95" customHeight="1" x14ac:dyDescent="0.25">
      <c r="A25" s="26" t="s">
        <v>59</v>
      </c>
      <c r="B25" s="27"/>
      <c r="C25" s="28"/>
    </row>
    <row r="26" spans="1:3" ht="21.95" customHeight="1" x14ac:dyDescent="0.25">
      <c r="A26" s="6" t="s">
        <v>60</v>
      </c>
      <c r="B26" s="15">
        <v>150750</v>
      </c>
      <c r="C26" s="8" t="s">
        <v>61</v>
      </c>
    </row>
    <row r="27" spans="1:3" ht="21.95" customHeight="1" x14ac:dyDescent="0.25">
      <c r="A27" s="6" t="s">
        <v>62</v>
      </c>
      <c r="B27" s="15">
        <v>198750</v>
      </c>
      <c r="C27" s="8" t="s">
        <v>63</v>
      </c>
    </row>
    <row r="28" spans="1:3" ht="21.95" customHeight="1" x14ac:dyDescent="0.25">
      <c r="A28" s="6" t="s">
        <v>64</v>
      </c>
      <c r="B28" s="16">
        <v>0.21</v>
      </c>
      <c r="C28" s="8" t="s">
        <v>65</v>
      </c>
    </row>
    <row r="29" spans="1:3" ht="21.95" customHeight="1" x14ac:dyDescent="0.25">
      <c r="A29" s="6" t="s">
        <v>66</v>
      </c>
      <c r="B29" s="9" t="s">
        <v>183</v>
      </c>
      <c r="C29" s="8" t="s">
        <v>14</v>
      </c>
    </row>
    <row r="30" spans="1:3" ht="21.95" customHeight="1" x14ac:dyDescent="0.25">
      <c r="A30" s="6" t="s">
        <v>184</v>
      </c>
      <c r="B30" s="15">
        <v>5500</v>
      </c>
      <c r="C30" s="8" t="s">
        <v>68</v>
      </c>
    </row>
    <row r="31" spans="1:3" ht="24.95" customHeight="1" x14ac:dyDescent="0.25">
      <c r="A31" s="26" t="s">
        <v>69</v>
      </c>
      <c r="B31" s="27"/>
      <c r="C31" s="28"/>
    </row>
    <row r="32" spans="1:3" ht="21.95" customHeight="1" x14ac:dyDescent="0.25">
      <c r="A32" s="6" t="s">
        <v>70</v>
      </c>
      <c r="B32" s="38" t="s">
        <v>298</v>
      </c>
      <c r="C32" s="8" t="s">
        <v>72</v>
      </c>
    </row>
    <row r="33" spans="1:3" ht="21.95" customHeight="1" x14ac:dyDescent="0.25">
      <c r="A33" s="6" t="s">
        <v>73</v>
      </c>
      <c r="B33" s="38" t="s">
        <v>299</v>
      </c>
      <c r="C33" s="8" t="s">
        <v>74</v>
      </c>
    </row>
    <row r="34" spans="1:3" ht="21.95" customHeight="1" x14ac:dyDescent="0.25">
      <c r="A34" s="6" t="s">
        <v>75</v>
      </c>
      <c r="B34" s="38" t="s">
        <v>183</v>
      </c>
      <c r="C34" s="8" t="s">
        <v>14</v>
      </c>
    </row>
    <row r="35" spans="1:3" ht="21.95" customHeight="1" x14ac:dyDescent="0.25">
      <c r="A35" s="6" t="s">
        <v>77</v>
      </c>
      <c r="B35" s="38" t="s">
        <v>185</v>
      </c>
      <c r="C35" s="8" t="s">
        <v>79</v>
      </c>
    </row>
    <row r="36" spans="1:3" ht="21.95" customHeight="1" x14ac:dyDescent="0.25">
      <c r="A36" s="6" t="s">
        <v>80</v>
      </c>
      <c r="B36" s="38">
        <v>533</v>
      </c>
      <c r="C36" s="8" t="s">
        <v>81</v>
      </c>
    </row>
    <row r="37" spans="1:3" ht="21.95" customHeight="1" x14ac:dyDescent="0.25">
      <c r="A37" s="6" t="s">
        <v>82</v>
      </c>
      <c r="B37" s="20">
        <v>718</v>
      </c>
      <c r="C37" s="8" t="s">
        <v>83</v>
      </c>
    </row>
    <row r="38" spans="1:3" ht="24.95" customHeight="1" x14ac:dyDescent="0.25">
      <c r="A38" s="26" t="s">
        <v>84</v>
      </c>
      <c r="B38" s="27"/>
      <c r="C38" s="28"/>
    </row>
    <row r="39" spans="1:3" ht="21.95" customHeight="1" x14ac:dyDescent="0.25">
      <c r="A39" s="6" t="s">
        <v>85</v>
      </c>
      <c r="B39" s="7" t="s">
        <v>86</v>
      </c>
      <c r="C39" s="8" t="s">
        <v>87</v>
      </c>
    </row>
    <row r="40" spans="1:3" ht="21.95" customHeight="1" x14ac:dyDescent="0.25">
      <c r="A40" s="6" t="s">
        <v>88</v>
      </c>
      <c r="B40" s="7" t="s">
        <v>89</v>
      </c>
      <c r="C40" s="8" t="s">
        <v>90</v>
      </c>
    </row>
    <row r="41" spans="1:3" ht="21.95" customHeight="1" x14ac:dyDescent="0.25">
      <c r="A41" s="6" t="s">
        <v>91</v>
      </c>
      <c r="B41" s="16">
        <v>0.1</v>
      </c>
      <c r="C41" s="8" t="s">
        <v>92</v>
      </c>
    </row>
    <row r="42" spans="1:3" ht="21.95" customHeight="1" x14ac:dyDescent="0.25">
      <c r="A42" s="6" t="s">
        <v>93</v>
      </c>
      <c r="B42" s="9" t="s">
        <v>185</v>
      </c>
      <c r="C42" s="8" t="s">
        <v>94</v>
      </c>
    </row>
    <row r="43" spans="1:3" ht="21.95" customHeight="1" x14ac:dyDescent="0.25">
      <c r="A43" s="6" t="s">
        <v>95</v>
      </c>
      <c r="B43" s="7" t="s">
        <v>76</v>
      </c>
      <c r="C43" s="8" t="s">
        <v>14</v>
      </c>
    </row>
    <row r="44" spans="1:3" ht="21.95" customHeight="1" x14ac:dyDescent="0.25">
      <c r="A44" s="6" t="s">
        <v>96</v>
      </c>
      <c r="B44" s="7" t="s">
        <v>186</v>
      </c>
      <c r="C44" s="8" t="s">
        <v>97</v>
      </c>
    </row>
    <row r="45" spans="1:3" ht="24.95" customHeight="1" x14ac:dyDescent="0.25">
      <c r="A45" s="26" t="s">
        <v>98</v>
      </c>
      <c r="B45" s="27"/>
      <c r="C45" s="28"/>
    </row>
    <row r="46" spans="1:3" ht="21.95" customHeight="1" x14ac:dyDescent="0.25">
      <c r="A46" s="6" t="s">
        <v>99</v>
      </c>
      <c r="B46" s="9" t="s">
        <v>187</v>
      </c>
      <c r="C46" s="8" t="s">
        <v>100</v>
      </c>
    </row>
    <row r="47" spans="1:3" ht="21.95" customHeight="1" x14ac:dyDescent="0.25">
      <c r="A47" s="6" t="s">
        <v>101</v>
      </c>
      <c r="B47" s="9" t="s">
        <v>10</v>
      </c>
      <c r="C47" s="8" t="s">
        <v>102</v>
      </c>
    </row>
    <row r="48" spans="1:3" ht="21.95" customHeight="1" x14ac:dyDescent="0.25">
      <c r="A48" s="6" t="s">
        <v>103</v>
      </c>
      <c r="B48" s="9" t="s">
        <v>188</v>
      </c>
      <c r="C48" s="8" t="s">
        <v>105</v>
      </c>
    </row>
    <row r="49" spans="1:3" ht="24.95" customHeight="1" x14ac:dyDescent="0.25">
      <c r="A49" s="26" t="s">
        <v>106</v>
      </c>
      <c r="B49" s="27"/>
      <c r="C49" s="28"/>
    </row>
    <row r="50" spans="1:3" ht="21.95" customHeight="1" x14ac:dyDescent="0.25">
      <c r="A50" s="6" t="s">
        <v>107</v>
      </c>
      <c r="B50" s="9" t="s">
        <v>189</v>
      </c>
      <c r="C50" s="8" t="s">
        <v>108</v>
      </c>
    </row>
    <row r="51" spans="1:3" ht="24.95" customHeight="1" x14ac:dyDescent="0.25">
      <c r="A51" s="26" t="s">
        <v>109</v>
      </c>
      <c r="B51" s="27"/>
      <c r="C51" s="28"/>
    </row>
    <row r="52" spans="1:3" ht="21.95" customHeight="1" x14ac:dyDescent="0.25">
      <c r="A52" s="6" t="s">
        <v>110</v>
      </c>
      <c r="B52" s="9" t="s">
        <v>190</v>
      </c>
      <c r="C52" s="8" t="s">
        <v>112</v>
      </c>
    </row>
    <row r="53" spans="1:3" ht="21.95" customHeight="1" x14ac:dyDescent="0.25">
      <c r="A53" s="6" t="s">
        <v>113</v>
      </c>
      <c r="B53" s="9" t="s">
        <v>301</v>
      </c>
      <c r="C53" s="8"/>
    </row>
    <row r="54" spans="1:3" ht="21.95" customHeight="1" x14ac:dyDescent="0.25">
      <c r="A54" s="6" t="s">
        <v>115</v>
      </c>
      <c r="B54" s="9" t="s">
        <v>191</v>
      </c>
      <c r="C54" s="8"/>
    </row>
    <row r="55" spans="1:3" ht="25.5" x14ac:dyDescent="0.25">
      <c r="A55" s="6" t="s">
        <v>117</v>
      </c>
      <c r="B55" s="20" t="s">
        <v>192</v>
      </c>
      <c r="C55" s="8"/>
    </row>
    <row r="56" spans="1:3" ht="21.95" customHeight="1" x14ac:dyDescent="0.25">
      <c r="A56" s="6" t="s">
        <v>119</v>
      </c>
      <c r="B56" s="38" t="s">
        <v>300</v>
      </c>
      <c r="C56" s="8" t="s">
        <v>121</v>
      </c>
    </row>
    <row r="57" spans="1:3" ht="21.95" customHeight="1" x14ac:dyDescent="0.25">
      <c r="A57" s="6" t="s">
        <v>122</v>
      </c>
      <c r="B57" s="20"/>
      <c r="C57" s="8"/>
    </row>
    <row r="58" spans="1:3" ht="21.95" customHeight="1" x14ac:dyDescent="0.25">
      <c r="A58" s="6" t="s">
        <v>124</v>
      </c>
      <c r="B58" s="20" t="s">
        <v>193</v>
      </c>
      <c r="C58" s="8"/>
    </row>
    <row r="59" spans="1:3" ht="24.95" customHeight="1" x14ac:dyDescent="0.25">
      <c r="A59" s="26" t="s">
        <v>126</v>
      </c>
      <c r="B59" s="27"/>
      <c r="C59" s="28"/>
    </row>
    <row r="60" spans="1:3" ht="21.95" customHeight="1" x14ac:dyDescent="0.25">
      <c r="A60" s="6" t="s">
        <v>127</v>
      </c>
      <c r="B60" s="20" t="s">
        <v>194</v>
      </c>
      <c r="C60" s="8" t="s">
        <v>129</v>
      </c>
    </row>
    <row r="61" spans="1:3" ht="21.95" customHeight="1" x14ac:dyDescent="0.25">
      <c r="A61" s="6" t="s">
        <v>130</v>
      </c>
      <c r="B61" s="20" t="s">
        <v>195</v>
      </c>
      <c r="C61" s="8"/>
    </row>
    <row r="62" spans="1:3" ht="21.95" customHeight="1" x14ac:dyDescent="0.25">
      <c r="A62" s="6" t="s">
        <v>132</v>
      </c>
      <c r="B62" s="38" t="s">
        <v>302</v>
      </c>
      <c r="C62" s="8"/>
    </row>
    <row r="63" spans="1:3" ht="21.95" customHeight="1" x14ac:dyDescent="0.25">
      <c r="A63" s="6" t="s">
        <v>134</v>
      </c>
      <c r="B63" s="38" t="s">
        <v>303</v>
      </c>
      <c r="C63" s="8"/>
    </row>
    <row r="64" spans="1:3" ht="21.95" customHeight="1" x14ac:dyDescent="0.25">
      <c r="A64" s="6" t="s">
        <v>135</v>
      </c>
      <c r="B64" s="20" t="s">
        <v>196</v>
      </c>
      <c r="C64" s="8"/>
    </row>
    <row r="65" spans="1:3" ht="24.95" customHeight="1" x14ac:dyDescent="0.25">
      <c r="A65" s="26" t="s">
        <v>137</v>
      </c>
      <c r="B65" s="27"/>
      <c r="C65" s="28"/>
    </row>
    <row r="66" spans="1:3" ht="21.95" customHeight="1" x14ac:dyDescent="0.25">
      <c r="A66" s="6" t="s">
        <v>138</v>
      </c>
      <c r="B66" s="20"/>
      <c r="C66" s="8" t="s">
        <v>140</v>
      </c>
    </row>
    <row r="67" spans="1:3" ht="21.95" customHeight="1" x14ac:dyDescent="0.25">
      <c r="A67" s="6" t="s">
        <v>141</v>
      </c>
      <c r="B67" s="20"/>
      <c r="C67" s="8" t="s">
        <v>143</v>
      </c>
    </row>
    <row r="68" spans="1:3" ht="21.95" customHeight="1" x14ac:dyDescent="0.25">
      <c r="A68" s="6" t="s">
        <v>144</v>
      </c>
      <c r="B68" s="20"/>
      <c r="C68" s="8" t="s">
        <v>146</v>
      </c>
    </row>
  </sheetData>
  <mergeCells count="11">
    <mergeCell ref="A59:C59"/>
    <mergeCell ref="A65:C65"/>
    <mergeCell ref="A20:C20"/>
    <mergeCell ref="A38:C38"/>
    <mergeCell ref="A51:C51"/>
    <mergeCell ref="A25:C25"/>
    <mergeCell ref="A13:C13"/>
    <mergeCell ref="A49:C49"/>
    <mergeCell ref="A1:C1"/>
    <mergeCell ref="A45:C45"/>
    <mergeCell ref="A31:C31"/>
  </mergeCells>
  <conditionalFormatting sqref="B5:B68">
    <cfRule type="expression" dxfId="5" priority="1">
      <formula>AND(B5&lt;&gt;"",B5&lt;&gt;"TODO")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C70"/>
  <sheetViews>
    <sheetView zoomScale="130" zoomScaleNormal="130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35" customWidth="1"/>
    <col min="2" max="3" width="40" customWidth="1"/>
  </cols>
  <sheetData>
    <row r="1" spans="1:3" ht="35.1" customHeight="1" x14ac:dyDescent="0.25">
      <c r="A1" s="29" t="s">
        <v>197</v>
      </c>
      <c r="B1" s="30"/>
      <c r="C1" s="30"/>
    </row>
    <row r="3" spans="1:3" x14ac:dyDescent="0.25">
      <c r="A3" s="2" t="s">
        <v>1</v>
      </c>
      <c r="B3" s="2" t="s">
        <v>2</v>
      </c>
      <c r="C3" s="2" t="s">
        <v>3</v>
      </c>
    </row>
    <row r="4" spans="1:3" ht="24.95" customHeight="1" x14ac:dyDescent="0.25">
      <c r="A4" s="26" t="s">
        <v>4</v>
      </c>
      <c r="B4" s="27"/>
      <c r="C4" s="28"/>
    </row>
    <row r="5" spans="1:3" ht="21.95" customHeight="1" x14ac:dyDescent="0.25">
      <c r="A5" s="6" t="s">
        <v>5</v>
      </c>
      <c r="B5" s="20" t="s">
        <v>154</v>
      </c>
      <c r="C5" s="8"/>
    </row>
    <row r="6" spans="1:3" ht="21.95" customHeight="1" x14ac:dyDescent="0.25">
      <c r="A6" s="6" t="s">
        <v>7</v>
      </c>
      <c r="B6" s="20" t="s">
        <v>198</v>
      </c>
      <c r="C6" s="8"/>
    </row>
    <row r="7" spans="1:3" ht="21.95" customHeight="1" x14ac:dyDescent="0.25">
      <c r="A7" s="6" t="s">
        <v>12</v>
      </c>
      <c r="B7" s="20" t="s">
        <v>13</v>
      </c>
      <c r="C7" s="8" t="s">
        <v>14</v>
      </c>
    </row>
    <row r="8" spans="1:3" ht="21.95" customHeight="1" x14ac:dyDescent="0.25">
      <c r="A8" s="6" t="s">
        <v>15</v>
      </c>
      <c r="B8" s="20" t="s">
        <v>16</v>
      </c>
      <c r="C8" s="8" t="s">
        <v>17</v>
      </c>
    </row>
    <row r="9" spans="1:3" ht="21.95" customHeight="1" x14ac:dyDescent="0.25">
      <c r="A9" s="6" t="s">
        <v>18</v>
      </c>
      <c r="B9" s="38" t="s">
        <v>19</v>
      </c>
      <c r="C9" s="8" t="s">
        <v>20</v>
      </c>
    </row>
    <row r="10" spans="1:3" ht="21.95" customHeight="1" x14ac:dyDescent="0.25">
      <c r="A10" s="6" t="s">
        <v>21</v>
      </c>
      <c r="B10" s="20" t="s">
        <v>22</v>
      </c>
      <c r="C10" s="8" t="s">
        <v>23</v>
      </c>
    </row>
    <row r="11" spans="1:3" ht="21.95" customHeight="1" x14ac:dyDescent="0.25">
      <c r="A11" s="6" t="s">
        <v>24</v>
      </c>
      <c r="B11" s="20" t="s">
        <v>200</v>
      </c>
      <c r="C11" s="8" t="s">
        <v>26</v>
      </c>
    </row>
    <row r="12" spans="1:3" ht="21.95" customHeight="1" x14ac:dyDescent="0.25">
      <c r="A12" s="6" t="s">
        <v>27</v>
      </c>
      <c r="B12" s="9" t="s">
        <v>10</v>
      </c>
      <c r="C12" s="8" t="s">
        <v>28</v>
      </c>
    </row>
    <row r="13" spans="1:3" ht="24.95" customHeight="1" x14ac:dyDescent="0.25">
      <c r="A13" s="26" t="s">
        <v>29</v>
      </c>
      <c r="B13" s="27"/>
      <c r="C13" s="28"/>
    </row>
    <row r="14" spans="1:3" ht="21.95" customHeight="1" x14ac:dyDescent="0.25">
      <c r="A14" s="6" t="s">
        <v>30</v>
      </c>
      <c r="B14" s="20" t="s">
        <v>31</v>
      </c>
      <c r="C14" s="8" t="s">
        <v>32</v>
      </c>
    </row>
    <row r="15" spans="1:3" ht="21.95" customHeight="1" x14ac:dyDescent="0.25">
      <c r="A15" s="6" t="s">
        <v>33</v>
      </c>
      <c r="B15" s="20" t="s">
        <v>201</v>
      </c>
      <c r="C15" s="8" t="s">
        <v>35</v>
      </c>
    </row>
    <row r="16" spans="1:3" ht="21.95" customHeight="1" x14ac:dyDescent="0.25">
      <c r="A16" s="6" t="s">
        <v>36</v>
      </c>
      <c r="B16" s="20" t="s">
        <v>202</v>
      </c>
      <c r="C16" s="8"/>
    </row>
    <row r="17" spans="1:3" ht="21.95" customHeight="1" x14ac:dyDescent="0.25">
      <c r="A17" s="6" t="s">
        <v>38</v>
      </c>
      <c r="B17" s="9">
        <v>0.9</v>
      </c>
      <c r="C17" s="8" t="s">
        <v>39</v>
      </c>
    </row>
    <row r="18" spans="1:3" ht="21.95" customHeight="1" x14ac:dyDescent="0.25">
      <c r="A18" s="6" t="s">
        <v>40</v>
      </c>
      <c r="B18" s="20" t="s">
        <v>203</v>
      </c>
      <c r="C18" s="8" t="s">
        <v>42</v>
      </c>
    </row>
    <row r="19" spans="1:3" ht="21.95" customHeight="1" x14ac:dyDescent="0.25">
      <c r="A19" s="6" t="s">
        <v>43</v>
      </c>
      <c r="B19" s="9" t="s">
        <v>10</v>
      </c>
      <c r="C19" s="8" t="s">
        <v>44</v>
      </c>
    </row>
    <row r="20" spans="1:3" ht="21.95" customHeight="1" x14ac:dyDescent="0.25">
      <c r="A20" s="6" t="s">
        <v>45</v>
      </c>
      <c r="B20" s="9" t="s">
        <v>10</v>
      </c>
      <c r="C20" s="8" t="s">
        <v>46</v>
      </c>
    </row>
    <row r="21" spans="1:3" ht="21.95" customHeight="1" x14ac:dyDescent="0.25">
      <c r="A21" s="6" t="s">
        <v>47</v>
      </c>
      <c r="B21" s="9" t="s">
        <v>10</v>
      </c>
      <c r="C21" s="8" t="s">
        <v>48</v>
      </c>
    </row>
    <row r="22" spans="1:3" ht="24.95" customHeight="1" x14ac:dyDescent="0.25">
      <c r="A22" s="26" t="s">
        <v>49</v>
      </c>
      <c r="B22" s="27"/>
      <c r="C22" s="28"/>
    </row>
    <row r="23" spans="1:3" ht="21.95" customHeight="1" x14ac:dyDescent="0.25">
      <c r="A23" s="6" t="s">
        <v>50</v>
      </c>
      <c r="B23" s="20">
        <v>93</v>
      </c>
      <c r="C23" s="8" t="s">
        <v>51</v>
      </c>
    </row>
    <row r="24" spans="1:3" ht="21.95" customHeight="1" x14ac:dyDescent="0.25">
      <c r="A24" s="6" t="s">
        <v>52</v>
      </c>
      <c r="B24" s="20">
        <v>12</v>
      </c>
      <c r="C24" s="8" t="s">
        <v>53</v>
      </c>
    </row>
    <row r="25" spans="1:3" ht="21.95" customHeight="1" x14ac:dyDescent="0.25">
      <c r="A25" s="6" t="s">
        <v>54</v>
      </c>
      <c r="B25" s="20">
        <v>35</v>
      </c>
      <c r="C25" s="8" t="s">
        <v>55</v>
      </c>
    </row>
    <row r="26" spans="1:3" ht="21.95" customHeight="1" x14ac:dyDescent="0.25">
      <c r="A26" s="6" t="s">
        <v>56</v>
      </c>
      <c r="B26" s="20" t="s">
        <v>204</v>
      </c>
      <c r="C26" s="8" t="s">
        <v>58</v>
      </c>
    </row>
    <row r="27" spans="1:3" ht="24.95" customHeight="1" x14ac:dyDescent="0.25">
      <c r="A27" s="26" t="s">
        <v>59</v>
      </c>
      <c r="B27" s="27"/>
      <c r="C27" s="28"/>
    </row>
    <row r="28" spans="1:3" ht="21.95" customHeight="1" x14ac:dyDescent="0.25">
      <c r="A28" s="6" t="s">
        <v>60</v>
      </c>
      <c r="B28" s="39">
        <v>162500</v>
      </c>
      <c r="C28" s="8" t="s">
        <v>61</v>
      </c>
    </row>
    <row r="29" spans="1:3" ht="21.95" customHeight="1" x14ac:dyDescent="0.25">
      <c r="A29" s="6" t="s">
        <v>62</v>
      </c>
      <c r="B29" s="39">
        <v>225000</v>
      </c>
      <c r="C29" s="8" t="s">
        <v>63</v>
      </c>
    </row>
    <row r="30" spans="1:3" ht="21.95" customHeight="1" x14ac:dyDescent="0.25">
      <c r="A30" s="6" t="s">
        <v>64</v>
      </c>
      <c r="B30" s="20" t="s">
        <v>205</v>
      </c>
      <c r="C30" s="8" t="s">
        <v>65</v>
      </c>
    </row>
    <row r="31" spans="1:3" ht="21.95" customHeight="1" x14ac:dyDescent="0.25">
      <c r="A31" s="6" t="s">
        <v>66</v>
      </c>
      <c r="B31" s="9" t="s">
        <v>10</v>
      </c>
      <c r="C31" s="8" t="s">
        <v>14</v>
      </c>
    </row>
    <row r="32" spans="1:3" ht="21.95" customHeight="1" x14ac:dyDescent="0.25">
      <c r="A32" s="6" t="s">
        <v>67</v>
      </c>
      <c r="B32" s="9" t="s">
        <v>10</v>
      </c>
      <c r="C32" s="8" t="s">
        <v>68</v>
      </c>
    </row>
    <row r="33" spans="1:3" ht="24.95" customHeight="1" x14ac:dyDescent="0.25">
      <c r="A33" s="26" t="s">
        <v>69</v>
      </c>
      <c r="B33" s="27"/>
      <c r="C33" s="28"/>
    </row>
    <row r="34" spans="1:3" ht="21.95" customHeight="1" x14ac:dyDescent="0.25">
      <c r="A34" s="6" t="s">
        <v>70</v>
      </c>
      <c r="B34" s="20" t="s">
        <v>206</v>
      </c>
      <c r="C34" s="8" t="s">
        <v>72</v>
      </c>
    </row>
    <row r="35" spans="1:3" ht="21.95" customHeight="1" x14ac:dyDescent="0.25">
      <c r="A35" s="6" t="s">
        <v>73</v>
      </c>
      <c r="B35" s="9" t="s">
        <v>10</v>
      </c>
      <c r="C35" s="8" t="s">
        <v>74</v>
      </c>
    </row>
    <row r="36" spans="1:3" ht="21.95" customHeight="1" x14ac:dyDescent="0.25">
      <c r="A36" s="6" t="s">
        <v>75</v>
      </c>
      <c r="B36" s="20" t="s">
        <v>13</v>
      </c>
      <c r="C36" s="8" t="s">
        <v>14</v>
      </c>
    </row>
    <row r="37" spans="1:3" ht="21.95" customHeight="1" x14ac:dyDescent="0.25">
      <c r="A37" s="6" t="s">
        <v>77</v>
      </c>
      <c r="B37" s="9" t="s">
        <v>10</v>
      </c>
      <c r="C37" s="8" t="s">
        <v>79</v>
      </c>
    </row>
    <row r="38" spans="1:3" ht="21.95" customHeight="1" x14ac:dyDescent="0.25">
      <c r="A38" s="6" t="s">
        <v>80</v>
      </c>
      <c r="B38" s="9" t="s">
        <v>10</v>
      </c>
      <c r="C38" s="8" t="s">
        <v>81</v>
      </c>
    </row>
    <row r="39" spans="1:3" ht="21.95" customHeight="1" x14ac:dyDescent="0.25">
      <c r="A39" s="6" t="s">
        <v>82</v>
      </c>
      <c r="B39" s="9" t="s">
        <v>10</v>
      </c>
      <c r="C39" s="8" t="s">
        <v>83</v>
      </c>
    </row>
    <row r="40" spans="1:3" ht="24.95" customHeight="1" x14ac:dyDescent="0.25">
      <c r="A40" s="26" t="s">
        <v>84</v>
      </c>
      <c r="B40" s="27"/>
      <c r="C40" s="28"/>
    </row>
    <row r="41" spans="1:3" ht="21.95" customHeight="1" x14ac:dyDescent="0.25">
      <c r="A41" s="6" t="s">
        <v>85</v>
      </c>
      <c r="B41" s="20" t="s">
        <v>86</v>
      </c>
      <c r="C41" s="8" t="s">
        <v>87</v>
      </c>
    </row>
    <row r="42" spans="1:3" ht="21.95" customHeight="1" x14ac:dyDescent="0.25">
      <c r="A42" s="6" t="s">
        <v>88</v>
      </c>
      <c r="B42" s="20" t="s">
        <v>207</v>
      </c>
      <c r="C42" s="8" t="s">
        <v>90</v>
      </c>
    </row>
    <row r="43" spans="1:3" ht="21.95" customHeight="1" x14ac:dyDescent="0.25">
      <c r="A43" s="6" t="s">
        <v>91</v>
      </c>
      <c r="B43" s="9" t="s">
        <v>10</v>
      </c>
      <c r="C43" s="8" t="s">
        <v>92</v>
      </c>
    </row>
    <row r="44" spans="1:3" ht="21.95" customHeight="1" x14ac:dyDescent="0.25">
      <c r="A44" s="6" t="s">
        <v>93</v>
      </c>
      <c r="B44" s="9" t="s">
        <v>10</v>
      </c>
      <c r="C44" s="8" t="s">
        <v>94</v>
      </c>
    </row>
    <row r="45" spans="1:3" ht="21.95" customHeight="1" x14ac:dyDescent="0.25">
      <c r="A45" s="6" t="s">
        <v>95</v>
      </c>
      <c r="B45" s="9" t="s">
        <v>10</v>
      </c>
      <c r="C45" s="8" t="s">
        <v>14</v>
      </c>
    </row>
    <row r="46" spans="1:3" ht="21.95" customHeight="1" x14ac:dyDescent="0.25">
      <c r="A46" s="6" t="s">
        <v>96</v>
      </c>
      <c r="B46" s="9" t="s">
        <v>10</v>
      </c>
      <c r="C46" s="8" t="s">
        <v>97</v>
      </c>
    </row>
    <row r="47" spans="1:3" ht="24.95" customHeight="1" x14ac:dyDescent="0.25">
      <c r="A47" s="26" t="s">
        <v>98</v>
      </c>
      <c r="B47" s="27"/>
      <c r="C47" s="28"/>
    </row>
    <row r="48" spans="1:3" ht="21.95" customHeight="1" x14ac:dyDescent="0.25">
      <c r="A48" s="6" t="s">
        <v>99</v>
      </c>
      <c r="B48" s="20" t="s">
        <v>208</v>
      </c>
      <c r="C48" s="8" t="s">
        <v>100</v>
      </c>
    </row>
    <row r="49" spans="1:3" ht="21.95" customHeight="1" x14ac:dyDescent="0.25">
      <c r="A49" s="6" t="s">
        <v>101</v>
      </c>
      <c r="B49" s="9" t="s">
        <v>10</v>
      </c>
      <c r="C49" s="8" t="s">
        <v>102</v>
      </c>
    </row>
    <row r="50" spans="1:3" ht="21.95" customHeight="1" x14ac:dyDescent="0.25">
      <c r="A50" s="6" t="s">
        <v>103</v>
      </c>
      <c r="B50" s="20" t="s">
        <v>209</v>
      </c>
      <c r="C50" s="8" t="s">
        <v>105</v>
      </c>
    </row>
    <row r="51" spans="1:3" ht="24.95" customHeight="1" x14ac:dyDescent="0.25">
      <c r="A51" s="26" t="s">
        <v>106</v>
      </c>
      <c r="B51" s="27"/>
      <c r="C51" s="28"/>
    </row>
    <row r="52" spans="1:3" ht="21.95" customHeight="1" x14ac:dyDescent="0.25">
      <c r="A52" s="6" t="s">
        <v>107</v>
      </c>
      <c r="B52" s="9" t="s">
        <v>10</v>
      </c>
      <c r="C52" s="8" t="s">
        <v>108</v>
      </c>
    </row>
    <row r="53" spans="1:3" ht="24.95" customHeight="1" x14ac:dyDescent="0.25">
      <c r="A53" s="26" t="s">
        <v>109</v>
      </c>
      <c r="B53" s="27"/>
      <c r="C53" s="28"/>
    </row>
    <row r="54" spans="1:3" ht="21.95" customHeight="1" x14ac:dyDescent="0.25">
      <c r="A54" s="6" t="s">
        <v>110</v>
      </c>
      <c r="B54" s="20" t="s">
        <v>210</v>
      </c>
      <c r="C54" s="8" t="s">
        <v>112</v>
      </c>
    </row>
    <row r="55" spans="1:3" ht="21.95" customHeight="1" x14ac:dyDescent="0.25">
      <c r="A55" s="6" t="s">
        <v>113</v>
      </c>
      <c r="B55" s="20" t="s">
        <v>209</v>
      </c>
      <c r="C55" s="8"/>
    </row>
    <row r="56" spans="1:3" ht="21.95" customHeight="1" x14ac:dyDescent="0.25">
      <c r="A56" s="6" t="s">
        <v>115</v>
      </c>
      <c r="B56" s="20" t="s">
        <v>211</v>
      </c>
      <c r="C56" s="8"/>
    </row>
    <row r="57" spans="1:3" ht="21.95" customHeight="1" x14ac:dyDescent="0.25">
      <c r="A57" s="6" t="s">
        <v>117</v>
      </c>
      <c r="B57" s="20" t="s">
        <v>212</v>
      </c>
      <c r="C57" s="8"/>
    </row>
    <row r="58" spans="1:3" ht="21.95" customHeight="1" x14ac:dyDescent="0.25">
      <c r="A58" s="6" t="s">
        <v>119</v>
      </c>
      <c r="B58" s="20" t="s">
        <v>213</v>
      </c>
      <c r="C58" s="8" t="s">
        <v>121</v>
      </c>
    </row>
    <row r="59" spans="1:3" ht="21.95" customHeight="1" x14ac:dyDescent="0.25">
      <c r="A59" s="6" t="s">
        <v>122</v>
      </c>
      <c r="B59" s="20" t="s">
        <v>214</v>
      </c>
      <c r="C59" s="8"/>
    </row>
    <row r="60" spans="1:3" ht="21.95" customHeight="1" x14ac:dyDescent="0.25">
      <c r="A60" s="6" t="s">
        <v>124</v>
      </c>
      <c r="B60" s="20" t="s">
        <v>215</v>
      </c>
      <c r="C60" s="8"/>
    </row>
    <row r="61" spans="1:3" ht="24.95" customHeight="1" x14ac:dyDescent="0.25">
      <c r="A61" s="26" t="s">
        <v>126</v>
      </c>
      <c r="B61" s="27"/>
      <c r="C61" s="28"/>
    </row>
    <row r="62" spans="1:3" ht="21.95" customHeight="1" x14ac:dyDescent="0.25">
      <c r="A62" s="6" t="s">
        <v>127</v>
      </c>
      <c r="B62" s="20" t="s">
        <v>216</v>
      </c>
      <c r="C62" s="8" t="s">
        <v>129</v>
      </c>
    </row>
    <row r="63" spans="1:3" ht="21.95" customHeight="1" x14ac:dyDescent="0.25">
      <c r="A63" s="6" t="s">
        <v>130</v>
      </c>
      <c r="B63" s="20" t="s">
        <v>217</v>
      </c>
      <c r="C63" s="8"/>
    </row>
    <row r="64" spans="1:3" ht="21.95" customHeight="1" x14ac:dyDescent="0.25">
      <c r="A64" s="6" t="s">
        <v>132</v>
      </c>
      <c r="B64" s="20" t="s">
        <v>218</v>
      </c>
      <c r="C64" s="8"/>
    </row>
    <row r="65" spans="1:3" ht="21.95" customHeight="1" x14ac:dyDescent="0.25">
      <c r="A65" s="6" t="s">
        <v>134</v>
      </c>
      <c r="B65" s="20" t="s">
        <v>219</v>
      </c>
      <c r="C65" s="8"/>
    </row>
    <row r="66" spans="1:3" ht="21.95" customHeight="1" x14ac:dyDescent="0.25">
      <c r="A66" s="6" t="s">
        <v>135</v>
      </c>
      <c r="B66" s="20" t="s">
        <v>220</v>
      </c>
      <c r="C66" s="8"/>
    </row>
    <row r="67" spans="1:3" ht="24.95" customHeight="1" x14ac:dyDescent="0.25">
      <c r="A67" s="26" t="s">
        <v>137</v>
      </c>
      <c r="B67" s="27"/>
      <c r="C67" s="28"/>
    </row>
    <row r="68" spans="1:3" ht="21.95" customHeight="1" x14ac:dyDescent="0.25">
      <c r="A68" s="6" t="s">
        <v>138</v>
      </c>
      <c r="B68" s="20" t="s">
        <v>139</v>
      </c>
      <c r="C68" s="8" t="s">
        <v>140</v>
      </c>
    </row>
    <row r="69" spans="1:3" ht="21.95" customHeight="1" x14ac:dyDescent="0.25">
      <c r="A69" s="6" t="s">
        <v>141</v>
      </c>
      <c r="B69" s="20" t="s">
        <v>142</v>
      </c>
      <c r="C69" s="8" t="s">
        <v>143</v>
      </c>
    </row>
    <row r="70" spans="1:3" ht="21.95" customHeight="1" x14ac:dyDescent="0.25">
      <c r="A70" s="6" t="s">
        <v>144</v>
      </c>
      <c r="B70" s="20" t="s">
        <v>221</v>
      </c>
      <c r="C70" s="8" t="s">
        <v>146</v>
      </c>
    </row>
  </sheetData>
  <mergeCells count="12">
    <mergeCell ref="A27:C27"/>
    <mergeCell ref="A40:C40"/>
    <mergeCell ref="A67:C67"/>
    <mergeCell ref="A1:C1"/>
    <mergeCell ref="A22:C22"/>
    <mergeCell ref="A13:C13"/>
    <mergeCell ref="A61:C61"/>
    <mergeCell ref="A33:C33"/>
    <mergeCell ref="A4:C4"/>
    <mergeCell ref="A47:C47"/>
    <mergeCell ref="A53:C53"/>
    <mergeCell ref="A51:C51"/>
  </mergeCells>
  <conditionalFormatting sqref="B5:B70">
    <cfRule type="expression" dxfId="4" priority="1">
      <formula>AND(B5&lt;&gt;"",B5&lt;&gt;"TODO")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C68"/>
  <sheetViews>
    <sheetView zoomScale="130" zoomScaleNormal="130" workbookViewId="0">
      <pane ySplit="3" topLeftCell="A4" activePane="bottomLeft" state="frozen"/>
      <selection pane="bottomLeft" activeCell="A31" sqref="A31:C31"/>
    </sheetView>
  </sheetViews>
  <sheetFormatPr defaultRowHeight="15" x14ac:dyDescent="0.25"/>
  <cols>
    <col min="1" max="1" width="35" customWidth="1"/>
    <col min="2" max="3" width="40" customWidth="1"/>
  </cols>
  <sheetData>
    <row r="1" spans="1:3" ht="35.1" customHeight="1" x14ac:dyDescent="0.25">
      <c r="A1" s="29" t="s">
        <v>0</v>
      </c>
      <c r="B1" s="30"/>
      <c r="C1" s="30"/>
    </row>
    <row r="3" spans="1:3" x14ac:dyDescent="0.25">
      <c r="A3" s="2" t="s">
        <v>1</v>
      </c>
      <c r="B3" s="2" t="s">
        <v>2</v>
      </c>
      <c r="C3" s="2" t="s">
        <v>3</v>
      </c>
    </row>
    <row r="4" spans="1:3" ht="24.95" customHeight="1" x14ac:dyDescent="0.25">
      <c r="A4" s="26" t="s">
        <v>4</v>
      </c>
      <c r="B4" s="27"/>
      <c r="C4" s="28"/>
    </row>
    <row r="5" spans="1:3" ht="21.95" customHeight="1" x14ac:dyDescent="0.25">
      <c r="A5" s="6" t="s">
        <v>5</v>
      </c>
      <c r="B5" s="20" t="s">
        <v>6</v>
      </c>
      <c r="C5" s="8"/>
    </row>
    <row r="6" spans="1:3" ht="21.95" customHeight="1" x14ac:dyDescent="0.25">
      <c r="A6" s="6" t="s">
        <v>7</v>
      </c>
      <c r="B6" s="20" t="s">
        <v>8</v>
      </c>
      <c r="C6" s="8"/>
    </row>
    <row r="7" spans="1:3" ht="21.95" customHeight="1" x14ac:dyDescent="0.25">
      <c r="A7" s="6" t="s">
        <v>12</v>
      </c>
      <c r="B7" s="20" t="s">
        <v>13</v>
      </c>
      <c r="C7" s="8" t="s">
        <v>14</v>
      </c>
    </row>
    <row r="8" spans="1:3" ht="21.95" customHeight="1" x14ac:dyDescent="0.25">
      <c r="A8" s="6" t="s">
        <v>15</v>
      </c>
      <c r="B8" s="20" t="s">
        <v>16</v>
      </c>
      <c r="C8" s="8" t="s">
        <v>17</v>
      </c>
    </row>
    <row r="9" spans="1:3" ht="21.95" customHeight="1" x14ac:dyDescent="0.25">
      <c r="A9" s="6" t="s">
        <v>18</v>
      </c>
      <c r="B9" s="20" t="s">
        <v>19</v>
      </c>
      <c r="C9" s="8" t="s">
        <v>20</v>
      </c>
    </row>
    <row r="10" spans="1:3" ht="21.95" customHeight="1" x14ac:dyDescent="0.25">
      <c r="A10" s="6" t="s">
        <v>21</v>
      </c>
      <c r="B10" s="20" t="s">
        <v>22</v>
      </c>
      <c r="C10" s="8" t="s">
        <v>23</v>
      </c>
    </row>
    <row r="11" spans="1:3" ht="21.95" customHeight="1" x14ac:dyDescent="0.25">
      <c r="A11" s="6" t="s">
        <v>24</v>
      </c>
      <c r="B11" s="20" t="s">
        <v>25</v>
      </c>
      <c r="C11" s="8" t="s">
        <v>26</v>
      </c>
    </row>
    <row r="12" spans="1:3" ht="21.95" customHeight="1" x14ac:dyDescent="0.25">
      <c r="A12" s="6" t="s">
        <v>27</v>
      </c>
      <c r="B12" s="9" t="s">
        <v>10</v>
      </c>
      <c r="C12" s="8" t="s">
        <v>28</v>
      </c>
    </row>
    <row r="13" spans="1:3" ht="24.95" customHeight="1" x14ac:dyDescent="0.25">
      <c r="A13" s="26" t="s">
        <v>29</v>
      </c>
      <c r="B13" s="27"/>
      <c r="C13" s="28"/>
    </row>
    <row r="14" spans="1:3" ht="21.95" customHeight="1" x14ac:dyDescent="0.25">
      <c r="A14" s="6" t="s">
        <v>30</v>
      </c>
      <c r="B14" s="20" t="s">
        <v>31</v>
      </c>
      <c r="C14" s="8" t="s">
        <v>32</v>
      </c>
    </row>
    <row r="15" spans="1:3" ht="21.95" customHeight="1" x14ac:dyDescent="0.25">
      <c r="A15" s="6" t="s">
        <v>33</v>
      </c>
      <c r="B15" s="20" t="s">
        <v>34</v>
      </c>
      <c r="C15" s="8" t="s">
        <v>35</v>
      </c>
    </row>
    <row r="16" spans="1:3" ht="21.95" customHeight="1" x14ac:dyDescent="0.25">
      <c r="A16" s="6" t="s">
        <v>36</v>
      </c>
      <c r="B16" s="20" t="s">
        <v>37</v>
      </c>
      <c r="C16" s="8"/>
    </row>
    <row r="17" spans="1:3" ht="21.95" customHeight="1" x14ac:dyDescent="0.25">
      <c r="A17" s="6" t="s">
        <v>38</v>
      </c>
      <c r="B17" s="9">
        <v>0.1</v>
      </c>
      <c r="C17" s="8" t="s">
        <v>39</v>
      </c>
    </row>
    <row r="18" spans="1:3" ht="21.95" customHeight="1" x14ac:dyDescent="0.25">
      <c r="A18" s="6" t="s">
        <v>40</v>
      </c>
      <c r="B18" s="20" t="s">
        <v>41</v>
      </c>
      <c r="C18" s="8" t="s">
        <v>42</v>
      </c>
    </row>
    <row r="19" spans="1:3" ht="21.95" customHeight="1" x14ac:dyDescent="0.25">
      <c r="A19" s="6" t="s">
        <v>43</v>
      </c>
      <c r="B19" s="9" t="s">
        <v>10</v>
      </c>
      <c r="C19" s="8" t="s">
        <v>44</v>
      </c>
    </row>
    <row r="20" spans="1:3" ht="24.95" customHeight="1" x14ac:dyDescent="0.25">
      <c r="A20" s="26" t="s">
        <v>49</v>
      </c>
      <c r="B20" s="27"/>
      <c r="C20" s="28"/>
    </row>
    <row r="21" spans="1:3" ht="21.95" customHeight="1" x14ac:dyDescent="0.25">
      <c r="A21" s="6" t="s">
        <v>50</v>
      </c>
      <c r="B21" s="20">
        <v>110</v>
      </c>
      <c r="C21" s="8" t="s">
        <v>51</v>
      </c>
    </row>
    <row r="22" spans="1:3" ht="21.95" customHeight="1" x14ac:dyDescent="0.25">
      <c r="A22" s="6" t="s">
        <v>52</v>
      </c>
      <c r="B22" s="20">
        <v>12</v>
      </c>
      <c r="C22" s="8" t="s">
        <v>53</v>
      </c>
    </row>
    <row r="23" spans="1:3" ht="21.95" customHeight="1" x14ac:dyDescent="0.25">
      <c r="A23" s="6" t="s">
        <v>54</v>
      </c>
      <c r="B23" s="20">
        <v>21</v>
      </c>
      <c r="C23" s="8" t="s">
        <v>55</v>
      </c>
    </row>
    <row r="24" spans="1:3" ht="21.95" customHeight="1" x14ac:dyDescent="0.25">
      <c r="A24" s="6" t="s">
        <v>56</v>
      </c>
      <c r="B24" s="20" t="s">
        <v>57</v>
      </c>
      <c r="C24" s="8" t="s">
        <v>58</v>
      </c>
    </row>
    <row r="25" spans="1:3" ht="24.95" customHeight="1" x14ac:dyDescent="0.25">
      <c r="A25" s="26" t="s">
        <v>59</v>
      </c>
      <c r="B25" s="27"/>
      <c r="C25" s="28"/>
    </row>
    <row r="26" spans="1:3" ht="21.95" customHeight="1" x14ac:dyDescent="0.25">
      <c r="A26" s="6" t="s">
        <v>60</v>
      </c>
      <c r="B26" s="39">
        <v>165000</v>
      </c>
      <c r="C26" s="8" t="s">
        <v>61</v>
      </c>
    </row>
    <row r="27" spans="1:3" ht="21.95" customHeight="1" x14ac:dyDescent="0.25">
      <c r="A27" s="6" t="s">
        <v>62</v>
      </c>
      <c r="B27" s="39">
        <v>225000</v>
      </c>
      <c r="C27" s="8" t="s">
        <v>63</v>
      </c>
    </row>
    <row r="28" spans="1:3" ht="21.95" customHeight="1" x14ac:dyDescent="0.25">
      <c r="A28" s="6" t="s">
        <v>64</v>
      </c>
      <c r="B28" s="20" t="s">
        <v>205</v>
      </c>
      <c r="C28" s="8" t="s">
        <v>65</v>
      </c>
    </row>
    <row r="29" spans="1:3" ht="21.95" customHeight="1" x14ac:dyDescent="0.25">
      <c r="A29" s="6" t="s">
        <v>66</v>
      </c>
      <c r="B29" s="9" t="s">
        <v>76</v>
      </c>
      <c r="C29" s="8" t="s">
        <v>14</v>
      </c>
    </row>
    <row r="30" spans="1:3" ht="21.95" customHeight="1" x14ac:dyDescent="0.25">
      <c r="A30" s="6" t="s">
        <v>67</v>
      </c>
      <c r="B30" s="9">
        <v>0</v>
      </c>
      <c r="C30" s="8" t="s">
        <v>68</v>
      </c>
    </row>
    <row r="31" spans="1:3" ht="24.95" customHeight="1" x14ac:dyDescent="0.25">
      <c r="A31" s="26" t="s">
        <v>69</v>
      </c>
      <c r="B31" s="27"/>
      <c r="C31" s="28"/>
    </row>
    <row r="32" spans="1:3" ht="21.95" customHeight="1" x14ac:dyDescent="0.25">
      <c r="A32" s="6" t="s">
        <v>70</v>
      </c>
      <c r="B32" s="20" t="s">
        <v>71</v>
      </c>
      <c r="C32" s="8" t="s">
        <v>72</v>
      </c>
    </row>
    <row r="33" spans="1:3" ht="21.95" customHeight="1" x14ac:dyDescent="0.25">
      <c r="A33" s="6" t="s">
        <v>73</v>
      </c>
      <c r="B33" s="9" t="s">
        <v>10</v>
      </c>
      <c r="C33" s="8" t="s">
        <v>74</v>
      </c>
    </row>
    <row r="34" spans="1:3" ht="21.95" customHeight="1" x14ac:dyDescent="0.25">
      <c r="A34" s="6" t="s">
        <v>75</v>
      </c>
      <c r="B34" s="20" t="s">
        <v>76</v>
      </c>
      <c r="C34" s="8" t="s">
        <v>14</v>
      </c>
    </row>
    <row r="35" spans="1:3" ht="21.95" customHeight="1" x14ac:dyDescent="0.25">
      <c r="A35" s="6" t="s">
        <v>77</v>
      </c>
      <c r="B35" s="20" t="s">
        <v>78</v>
      </c>
      <c r="C35" s="8" t="s">
        <v>79</v>
      </c>
    </row>
    <row r="36" spans="1:3" ht="21.95" customHeight="1" x14ac:dyDescent="0.25">
      <c r="A36" s="6" t="s">
        <v>80</v>
      </c>
      <c r="B36" s="9" t="s">
        <v>10</v>
      </c>
      <c r="C36" s="8" t="s">
        <v>81</v>
      </c>
    </row>
    <row r="37" spans="1:3" ht="21.95" customHeight="1" x14ac:dyDescent="0.25">
      <c r="A37" s="6" t="s">
        <v>82</v>
      </c>
      <c r="B37" s="9" t="s">
        <v>10</v>
      </c>
      <c r="C37" s="8" t="s">
        <v>83</v>
      </c>
    </row>
    <row r="38" spans="1:3" ht="24.95" customHeight="1" x14ac:dyDescent="0.25">
      <c r="A38" s="26" t="s">
        <v>84</v>
      </c>
      <c r="B38" s="27"/>
      <c r="C38" s="28"/>
    </row>
    <row r="39" spans="1:3" ht="21.95" customHeight="1" x14ac:dyDescent="0.25">
      <c r="A39" s="6" t="s">
        <v>85</v>
      </c>
      <c r="B39" s="20" t="s">
        <v>86</v>
      </c>
      <c r="C39" s="8" t="s">
        <v>87</v>
      </c>
    </row>
    <row r="40" spans="1:3" ht="21.95" customHeight="1" x14ac:dyDescent="0.25">
      <c r="A40" s="6" t="s">
        <v>88</v>
      </c>
      <c r="B40" s="20" t="s">
        <v>89</v>
      </c>
      <c r="C40" s="8" t="s">
        <v>90</v>
      </c>
    </row>
    <row r="41" spans="1:3" ht="21.95" customHeight="1" x14ac:dyDescent="0.25">
      <c r="A41" s="6" t="s">
        <v>91</v>
      </c>
      <c r="B41" s="9" t="s">
        <v>10</v>
      </c>
      <c r="C41" s="8" t="s">
        <v>92</v>
      </c>
    </row>
    <row r="42" spans="1:3" ht="21.95" customHeight="1" x14ac:dyDescent="0.25">
      <c r="A42" s="6" t="s">
        <v>93</v>
      </c>
      <c r="B42" s="9" t="s">
        <v>10</v>
      </c>
      <c r="C42" s="8" t="s">
        <v>94</v>
      </c>
    </row>
    <row r="43" spans="1:3" ht="21.95" customHeight="1" x14ac:dyDescent="0.25">
      <c r="A43" s="6" t="s">
        <v>95</v>
      </c>
      <c r="B43" s="9" t="s">
        <v>10</v>
      </c>
      <c r="C43" s="8" t="s">
        <v>14</v>
      </c>
    </row>
    <row r="44" spans="1:3" ht="21.95" customHeight="1" x14ac:dyDescent="0.25">
      <c r="A44" s="6" t="s">
        <v>96</v>
      </c>
      <c r="B44" s="9" t="s">
        <v>10</v>
      </c>
      <c r="C44" s="8" t="s">
        <v>97</v>
      </c>
    </row>
    <row r="45" spans="1:3" ht="24.95" customHeight="1" x14ac:dyDescent="0.25">
      <c r="A45" s="26" t="s">
        <v>98</v>
      </c>
      <c r="B45" s="27"/>
      <c r="C45" s="28"/>
    </row>
    <row r="46" spans="1:3" ht="21.95" customHeight="1" x14ac:dyDescent="0.25">
      <c r="A46" s="6" t="s">
        <v>99</v>
      </c>
      <c r="B46" s="9" t="s">
        <v>10</v>
      </c>
      <c r="C46" s="8" t="s">
        <v>100</v>
      </c>
    </row>
    <row r="47" spans="1:3" ht="21.95" customHeight="1" x14ac:dyDescent="0.25">
      <c r="A47" s="6" t="s">
        <v>101</v>
      </c>
      <c r="B47" s="9" t="s">
        <v>10</v>
      </c>
      <c r="C47" s="8" t="s">
        <v>102</v>
      </c>
    </row>
    <row r="48" spans="1:3" ht="21.95" customHeight="1" x14ac:dyDescent="0.25">
      <c r="A48" s="6" t="s">
        <v>103</v>
      </c>
      <c r="B48" s="20" t="s">
        <v>104</v>
      </c>
      <c r="C48" s="8" t="s">
        <v>105</v>
      </c>
    </row>
    <row r="49" spans="1:3" ht="24.95" customHeight="1" x14ac:dyDescent="0.25">
      <c r="A49" s="26" t="s">
        <v>106</v>
      </c>
      <c r="B49" s="27"/>
      <c r="C49" s="28"/>
    </row>
    <row r="50" spans="1:3" ht="21.95" customHeight="1" x14ac:dyDescent="0.25">
      <c r="A50" s="6" t="s">
        <v>107</v>
      </c>
      <c r="B50" s="9" t="s">
        <v>10</v>
      </c>
      <c r="C50" s="8" t="s">
        <v>108</v>
      </c>
    </row>
    <row r="51" spans="1:3" ht="24.95" customHeight="1" x14ac:dyDescent="0.25">
      <c r="A51" s="26" t="s">
        <v>109</v>
      </c>
      <c r="B51" s="27"/>
      <c r="C51" s="28"/>
    </row>
    <row r="52" spans="1:3" ht="21.95" customHeight="1" x14ac:dyDescent="0.25">
      <c r="A52" s="6" t="s">
        <v>110</v>
      </c>
      <c r="B52" s="20" t="s">
        <v>111</v>
      </c>
      <c r="C52" s="8" t="s">
        <v>112</v>
      </c>
    </row>
    <row r="53" spans="1:3" ht="21.95" customHeight="1" x14ac:dyDescent="0.25">
      <c r="A53" s="6" t="s">
        <v>113</v>
      </c>
      <c r="B53" s="20" t="s">
        <v>114</v>
      </c>
      <c r="C53" s="8"/>
    </row>
    <row r="54" spans="1:3" ht="21.95" customHeight="1" x14ac:dyDescent="0.25">
      <c r="A54" s="6" t="s">
        <v>115</v>
      </c>
      <c r="B54" s="20" t="s">
        <v>116</v>
      </c>
      <c r="C54" s="8"/>
    </row>
    <row r="55" spans="1:3" ht="21.95" customHeight="1" x14ac:dyDescent="0.25">
      <c r="A55" s="6" t="s">
        <v>117</v>
      </c>
      <c r="B55" s="20" t="s">
        <v>118</v>
      </c>
      <c r="C55" s="8"/>
    </row>
    <row r="56" spans="1:3" ht="21.95" customHeight="1" x14ac:dyDescent="0.25">
      <c r="A56" s="6" t="s">
        <v>119</v>
      </c>
      <c r="B56" s="20" t="s">
        <v>120</v>
      </c>
      <c r="C56" s="8" t="s">
        <v>121</v>
      </c>
    </row>
    <row r="57" spans="1:3" ht="21.95" customHeight="1" x14ac:dyDescent="0.25">
      <c r="A57" s="6" t="s">
        <v>122</v>
      </c>
      <c r="B57" s="20" t="s">
        <v>123</v>
      </c>
      <c r="C57" s="8"/>
    </row>
    <row r="58" spans="1:3" ht="21.95" customHeight="1" x14ac:dyDescent="0.25">
      <c r="A58" s="6" t="s">
        <v>124</v>
      </c>
      <c r="B58" s="20" t="s">
        <v>125</v>
      </c>
      <c r="C58" s="8"/>
    </row>
    <row r="59" spans="1:3" ht="24.95" customHeight="1" x14ac:dyDescent="0.25">
      <c r="A59" s="26" t="s">
        <v>126</v>
      </c>
      <c r="B59" s="27"/>
      <c r="C59" s="28"/>
    </row>
    <row r="60" spans="1:3" ht="21.95" customHeight="1" x14ac:dyDescent="0.25">
      <c r="A60" s="6" t="s">
        <v>127</v>
      </c>
      <c r="B60" s="20" t="s">
        <v>128</v>
      </c>
      <c r="C60" s="8" t="s">
        <v>129</v>
      </c>
    </row>
    <row r="61" spans="1:3" ht="21.95" customHeight="1" x14ac:dyDescent="0.25">
      <c r="A61" s="6" t="s">
        <v>130</v>
      </c>
      <c r="B61" s="20" t="s">
        <v>131</v>
      </c>
      <c r="C61" s="8"/>
    </row>
    <row r="62" spans="1:3" ht="21.95" customHeight="1" x14ac:dyDescent="0.25">
      <c r="A62" s="6" t="s">
        <v>132</v>
      </c>
      <c r="B62" s="20" t="s">
        <v>133</v>
      </c>
      <c r="C62" s="8"/>
    </row>
    <row r="63" spans="1:3" ht="21.95" customHeight="1" x14ac:dyDescent="0.25">
      <c r="A63" s="6" t="s">
        <v>134</v>
      </c>
      <c r="B63" s="20" t="s">
        <v>123</v>
      </c>
      <c r="C63" s="8"/>
    </row>
    <row r="64" spans="1:3" ht="21.95" customHeight="1" x14ac:dyDescent="0.25">
      <c r="A64" s="6" t="s">
        <v>135</v>
      </c>
      <c r="B64" s="20" t="s">
        <v>136</v>
      </c>
      <c r="C64" s="8"/>
    </row>
    <row r="65" spans="1:3" ht="24.95" customHeight="1" x14ac:dyDescent="0.25">
      <c r="A65" s="26" t="s">
        <v>137</v>
      </c>
      <c r="B65" s="27"/>
      <c r="C65" s="28"/>
    </row>
    <row r="66" spans="1:3" ht="21.95" customHeight="1" x14ac:dyDescent="0.25">
      <c r="A66" s="6" t="s">
        <v>138</v>
      </c>
      <c r="B66" s="20" t="s">
        <v>139</v>
      </c>
      <c r="C66" s="8" t="s">
        <v>140</v>
      </c>
    </row>
    <row r="67" spans="1:3" ht="21.95" customHeight="1" x14ac:dyDescent="0.25">
      <c r="A67" s="6" t="s">
        <v>141</v>
      </c>
      <c r="B67" s="20" t="s">
        <v>142</v>
      </c>
      <c r="C67" s="8" t="s">
        <v>143</v>
      </c>
    </row>
    <row r="68" spans="1:3" ht="21.95" customHeight="1" x14ac:dyDescent="0.25">
      <c r="A68" s="6" t="s">
        <v>144</v>
      </c>
      <c r="B68" s="20" t="s">
        <v>145</v>
      </c>
      <c r="C68" s="8" t="s">
        <v>146</v>
      </c>
    </row>
  </sheetData>
  <mergeCells count="12">
    <mergeCell ref="A25:C25"/>
    <mergeCell ref="A38:C38"/>
    <mergeCell ref="A65:C65"/>
    <mergeCell ref="A1:C1"/>
    <mergeCell ref="A20:C20"/>
    <mergeCell ref="A13:C13"/>
    <mergeCell ref="A59:C59"/>
    <mergeCell ref="A31:C31"/>
    <mergeCell ref="A4:C4"/>
    <mergeCell ref="A45:C45"/>
    <mergeCell ref="A51:C51"/>
    <mergeCell ref="A49:C49"/>
  </mergeCells>
  <conditionalFormatting sqref="B5:B27 B29:B68">
    <cfRule type="expression" dxfId="3" priority="2">
      <formula>AND(B5&lt;&gt;"",B5&lt;&gt;"TODO")</formula>
    </cfRule>
  </conditionalFormatting>
  <conditionalFormatting sqref="B28">
    <cfRule type="expression" dxfId="0" priority="1">
      <formula>AND(B28&lt;&gt;"",B28&lt;&gt;"TODO")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C71"/>
  <sheetViews>
    <sheetView zoomScale="130" zoomScaleNormal="130" workbookViewId="0">
      <pane ySplit="3" topLeftCell="A4" activePane="bottomLeft" state="frozen"/>
      <selection pane="bottomLeft" sqref="A1:C1"/>
    </sheetView>
  </sheetViews>
  <sheetFormatPr defaultRowHeight="15" x14ac:dyDescent="0.25"/>
  <cols>
    <col min="1" max="1" width="35" customWidth="1"/>
    <col min="2" max="3" width="40" customWidth="1"/>
  </cols>
  <sheetData>
    <row r="1" spans="1:3" ht="35.1" customHeight="1" x14ac:dyDescent="0.25">
      <c r="A1" s="29" t="s">
        <v>222</v>
      </c>
      <c r="B1" s="30"/>
      <c r="C1" s="30"/>
    </row>
    <row r="3" spans="1:3" x14ac:dyDescent="0.25">
      <c r="A3" s="2" t="s">
        <v>1</v>
      </c>
      <c r="B3" s="2" t="s">
        <v>2</v>
      </c>
      <c r="C3" s="2" t="s">
        <v>3</v>
      </c>
    </row>
    <row r="4" spans="1:3" ht="24.95" customHeight="1" x14ac:dyDescent="0.25">
      <c r="A4" s="26" t="s">
        <v>4</v>
      </c>
      <c r="B4" s="27"/>
      <c r="C4" s="28"/>
    </row>
    <row r="5" spans="1:3" ht="21.95" customHeight="1" x14ac:dyDescent="0.25">
      <c r="A5" s="6" t="s">
        <v>5</v>
      </c>
      <c r="B5" s="20" t="s">
        <v>155</v>
      </c>
      <c r="C5" s="8"/>
    </row>
    <row r="6" spans="1:3" ht="21.95" customHeight="1" x14ac:dyDescent="0.25">
      <c r="A6" s="6" t="s">
        <v>7</v>
      </c>
      <c r="B6" s="20" t="s">
        <v>198</v>
      </c>
      <c r="C6" s="8"/>
    </row>
    <row r="7" spans="1:3" ht="21.95" customHeight="1" x14ac:dyDescent="0.25">
      <c r="A7" s="6" t="s">
        <v>9</v>
      </c>
      <c r="B7" s="9" t="s">
        <v>10</v>
      </c>
      <c r="C7" s="8" t="s">
        <v>11</v>
      </c>
    </row>
    <row r="8" spans="1:3" ht="21.95" customHeight="1" x14ac:dyDescent="0.25">
      <c r="A8" s="6" t="s">
        <v>12</v>
      </c>
      <c r="B8" s="20" t="s">
        <v>13</v>
      </c>
      <c r="C8" s="8" t="s">
        <v>14</v>
      </c>
    </row>
    <row r="9" spans="1:3" ht="21.95" customHeight="1" x14ac:dyDescent="0.25">
      <c r="A9" s="6" t="s">
        <v>15</v>
      </c>
      <c r="B9" s="20" t="s">
        <v>16</v>
      </c>
      <c r="C9" s="8" t="s">
        <v>17</v>
      </c>
    </row>
    <row r="10" spans="1:3" ht="21.95" customHeight="1" x14ac:dyDescent="0.25">
      <c r="A10" s="6" t="s">
        <v>18</v>
      </c>
      <c r="B10" s="20" t="s">
        <v>19</v>
      </c>
      <c r="C10" s="8" t="s">
        <v>20</v>
      </c>
    </row>
    <row r="11" spans="1:3" ht="21.95" customHeight="1" x14ac:dyDescent="0.25">
      <c r="A11" s="6" t="s">
        <v>21</v>
      </c>
      <c r="B11" s="20" t="s">
        <v>22</v>
      </c>
      <c r="C11" s="8" t="s">
        <v>23</v>
      </c>
    </row>
    <row r="12" spans="1:3" ht="21.95" customHeight="1" x14ac:dyDescent="0.25">
      <c r="A12" s="6" t="s">
        <v>24</v>
      </c>
      <c r="B12" s="20" t="s">
        <v>223</v>
      </c>
      <c r="C12" s="8" t="s">
        <v>26</v>
      </c>
    </row>
    <row r="13" spans="1:3" ht="21.95" customHeight="1" x14ac:dyDescent="0.25">
      <c r="A13" s="6" t="s">
        <v>27</v>
      </c>
      <c r="B13" s="9" t="s">
        <v>10</v>
      </c>
      <c r="C13" s="8" t="s">
        <v>28</v>
      </c>
    </row>
    <row r="14" spans="1:3" ht="24.95" customHeight="1" x14ac:dyDescent="0.25">
      <c r="A14" s="26" t="s">
        <v>29</v>
      </c>
      <c r="B14" s="27"/>
      <c r="C14" s="28"/>
    </row>
    <row r="15" spans="1:3" ht="21.95" customHeight="1" x14ac:dyDescent="0.25">
      <c r="A15" s="6" t="s">
        <v>30</v>
      </c>
      <c r="B15" s="20" t="s">
        <v>31</v>
      </c>
      <c r="C15" s="8" t="s">
        <v>32</v>
      </c>
    </row>
    <row r="16" spans="1:3" ht="21.95" customHeight="1" x14ac:dyDescent="0.25">
      <c r="A16" s="6" t="s">
        <v>33</v>
      </c>
      <c r="B16" s="20" t="s">
        <v>224</v>
      </c>
      <c r="C16" s="8" t="s">
        <v>35</v>
      </c>
    </row>
    <row r="17" spans="1:3" ht="21.95" customHeight="1" x14ac:dyDescent="0.25">
      <c r="A17" s="6" t="s">
        <v>36</v>
      </c>
      <c r="B17" s="20" t="s">
        <v>225</v>
      </c>
      <c r="C17" s="8"/>
    </row>
    <row r="18" spans="1:3" ht="21.95" customHeight="1" x14ac:dyDescent="0.25">
      <c r="A18" s="6" t="s">
        <v>38</v>
      </c>
      <c r="B18" s="9" t="s">
        <v>10</v>
      </c>
      <c r="C18" s="8" t="s">
        <v>39</v>
      </c>
    </row>
    <row r="19" spans="1:3" ht="21.95" customHeight="1" x14ac:dyDescent="0.25">
      <c r="A19" s="6" t="s">
        <v>40</v>
      </c>
      <c r="B19" s="20" t="s">
        <v>226</v>
      </c>
      <c r="C19" s="8" t="s">
        <v>42</v>
      </c>
    </row>
    <row r="20" spans="1:3" ht="21.95" customHeight="1" x14ac:dyDescent="0.25">
      <c r="A20" s="6" t="s">
        <v>43</v>
      </c>
      <c r="B20" s="9" t="s">
        <v>10</v>
      </c>
      <c r="C20" s="8" t="s">
        <v>44</v>
      </c>
    </row>
    <row r="21" spans="1:3" ht="21.95" customHeight="1" x14ac:dyDescent="0.25">
      <c r="A21" s="6" t="s">
        <v>45</v>
      </c>
      <c r="B21" s="9" t="s">
        <v>10</v>
      </c>
      <c r="C21" s="8" t="s">
        <v>46</v>
      </c>
    </row>
    <row r="22" spans="1:3" ht="21.95" customHeight="1" x14ac:dyDescent="0.25">
      <c r="A22" s="6" t="s">
        <v>47</v>
      </c>
      <c r="B22" s="9" t="s">
        <v>10</v>
      </c>
      <c r="C22" s="8" t="s">
        <v>48</v>
      </c>
    </row>
    <row r="23" spans="1:3" ht="24.95" customHeight="1" x14ac:dyDescent="0.25">
      <c r="A23" s="26" t="s">
        <v>49</v>
      </c>
      <c r="B23" s="27"/>
      <c r="C23" s="28"/>
    </row>
    <row r="24" spans="1:3" ht="21.95" customHeight="1" x14ac:dyDescent="0.25">
      <c r="A24" s="6" t="s">
        <v>50</v>
      </c>
      <c r="B24" s="20">
        <v>59</v>
      </c>
      <c r="C24" s="8" t="s">
        <v>51</v>
      </c>
    </row>
    <row r="25" spans="1:3" ht="21.95" customHeight="1" x14ac:dyDescent="0.25">
      <c r="A25" s="6" t="s">
        <v>52</v>
      </c>
      <c r="B25" s="20">
        <v>12</v>
      </c>
      <c r="C25" s="8" t="s">
        <v>53</v>
      </c>
    </row>
    <row r="26" spans="1:3" ht="21.95" customHeight="1" x14ac:dyDescent="0.25">
      <c r="A26" s="6" t="s">
        <v>54</v>
      </c>
      <c r="B26" s="20">
        <v>33</v>
      </c>
      <c r="C26" s="8" t="s">
        <v>55</v>
      </c>
    </row>
    <row r="27" spans="1:3" ht="21.95" customHeight="1" x14ac:dyDescent="0.25">
      <c r="A27" s="6" t="s">
        <v>56</v>
      </c>
      <c r="B27" s="20" t="s">
        <v>227</v>
      </c>
      <c r="C27" s="8" t="s">
        <v>58</v>
      </c>
    </row>
    <row r="28" spans="1:3" ht="24.95" customHeight="1" x14ac:dyDescent="0.25">
      <c r="A28" s="26" t="s">
        <v>59</v>
      </c>
      <c r="B28" s="27"/>
      <c r="C28" s="28"/>
    </row>
    <row r="29" spans="1:3" ht="21.95" customHeight="1" x14ac:dyDescent="0.25">
      <c r="A29" s="6" t="s">
        <v>60</v>
      </c>
      <c r="B29" s="20">
        <v>167500</v>
      </c>
      <c r="C29" s="8" t="s">
        <v>61</v>
      </c>
    </row>
    <row r="30" spans="1:3" ht="21.95" customHeight="1" x14ac:dyDescent="0.25">
      <c r="A30" s="6" t="s">
        <v>62</v>
      </c>
      <c r="B30" s="20">
        <v>235000</v>
      </c>
      <c r="C30" s="8" t="s">
        <v>63</v>
      </c>
    </row>
    <row r="31" spans="1:3" ht="21.95" customHeight="1" x14ac:dyDescent="0.25">
      <c r="A31" s="6" t="s">
        <v>64</v>
      </c>
      <c r="B31" s="20" t="s">
        <v>205</v>
      </c>
      <c r="C31" s="8" t="s">
        <v>65</v>
      </c>
    </row>
    <row r="32" spans="1:3" ht="21.95" customHeight="1" x14ac:dyDescent="0.25">
      <c r="A32" s="6" t="s">
        <v>66</v>
      </c>
      <c r="B32" s="9" t="s">
        <v>10</v>
      </c>
      <c r="C32" s="8" t="s">
        <v>14</v>
      </c>
    </row>
    <row r="33" spans="1:3" ht="21.95" customHeight="1" x14ac:dyDescent="0.25">
      <c r="A33" s="6" t="s">
        <v>67</v>
      </c>
      <c r="B33" s="9" t="s">
        <v>10</v>
      </c>
      <c r="C33" s="8" t="s">
        <v>68</v>
      </c>
    </row>
    <row r="34" spans="1:3" ht="24.95" customHeight="1" x14ac:dyDescent="0.25">
      <c r="A34" s="26" t="s">
        <v>69</v>
      </c>
      <c r="B34" s="27"/>
      <c r="C34" s="28"/>
    </row>
    <row r="35" spans="1:3" ht="21.95" customHeight="1" x14ac:dyDescent="0.25">
      <c r="A35" s="6" t="s">
        <v>70</v>
      </c>
      <c r="B35" s="20" t="s">
        <v>228</v>
      </c>
      <c r="C35" s="8" t="s">
        <v>72</v>
      </c>
    </row>
    <row r="36" spans="1:3" ht="21.95" customHeight="1" x14ac:dyDescent="0.25">
      <c r="A36" s="6" t="s">
        <v>73</v>
      </c>
      <c r="B36" s="9" t="s">
        <v>10</v>
      </c>
      <c r="C36" s="8" t="s">
        <v>74</v>
      </c>
    </row>
    <row r="37" spans="1:3" ht="21.95" customHeight="1" x14ac:dyDescent="0.25">
      <c r="A37" s="6" t="s">
        <v>75</v>
      </c>
      <c r="B37" s="20" t="s">
        <v>13</v>
      </c>
      <c r="C37" s="8" t="s">
        <v>14</v>
      </c>
    </row>
    <row r="38" spans="1:3" ht="21.95" customHeight="1" x14ac:dyDescent="0.25">
      <c r="A38" s="6" t="s">
        <v>77</v>
      </c>
      <c r="B38" s="9" t="s">
        <v>10</v>
      </c>
      <c r="C38" s="8" t="s">
        <v>79</v>
      </c>
    </row>
    <row r="39" spans="1:3" ht="21.95" customHeight="1" x14ac:dyDescent="0.25">
      <c r="A39" s="6" t="s">
        <v>80</v>
      </c>
      <c r="B39" s="9" t="s">
        <v>10</v>
      </c>
      <c r="C39" s="8" t="s">
        <v>81</v>
      </c>
    </row>
    <row r="40" spans="1:3" ht="21.95" customHeight="1" x14ac:dyDescent="0.25">
      <c r="A40" s="6" t="s">
        <v>82</v>
      </c>
      <c r="B40" s="9" t="s">
        <v>10</v>
      </c>
      <c r="C40" s="8" t="s">
        <v>83</v>
      </c>
    </row>
    <row r="41" spans="1:3" ht="24.95" customHeight="1" x14ac:dyDescent="0.25">
      <c r="A41" s="26" t="s">
        <v>84</v>
      </c>
      <c r="B41" s="27"/>
      <c r="C41" s="28"/>
    </row>
    <row r="42" spans="1:3" ht="21.95" customHeight="1" x14ac:dyDescent="0.25">
      <c r="A42" s="6" t="s">
        <v>85</v>
      </c>
      <c r="B42" s="20" t="s">
        <v>86</v>
      </c>
      <c r="C42" s="8" t="s">
        <v>87</v>
      </c>
    </row>
    <row r="43" spans="1:3" ht="21.95" customHeight="1" x14ac:dyDescent="0.25">
      <c r="A43" s="6" t="s">
        <v>88</v>
      </c>
      <c r="B43" s="20" t="s">
        <v>229</v>
      </c>
      <c r="C43" s="8" t="s">
        <v>90</v>
      </c>
    </row>
    <row r="44" spans="1:3" ht="21.95" customHeight="1" x14ac:dyDescent="0.25">
      <c r="A44" s="6" t="s">
        <v>91</v>
      </c>
      <c r="B44" s="9" t="s">
        <v>10</v>
      </c>
      <c r="C44" s="8" t="s">
        <v>92</v>
      </c>
    </row>
    <row r="45" spans="1:3" ht="21.95" customHeight="1" x14ac:dyDescent="0.25">
      <c r="A45" s="6" t="s">
        <v>93</v>
      </c>
      <c r="B45" s="9" t="s">
        <v>10</v>
      </c>
      <c r="C45" s="8" t="s">
        <v>94</v>
      </c>
    </row>
    <row r="46" spans="1:3" ht="21.95" customHeight="1" x14ac:dyDescent="0.25">
      <c r="A46" s="6" t="s">
        <v>95</v>
      </c>
      <c r="B46" s="9" t="s">
        <v>10</v>
      </c>
      <c r="C46" s="8" t="s">
        <v>14</v>
      </c>
    </row>
    <row r="47" spans="1:3" ht="21.95" customHeight="1" x14ac:dyDescent="0.25">
      <c r="A47" s="6" t="s">
        <v>96</v>
      </c>
      <c r="B47" s="9" t="s">
        <v>10</v>
      </c>
      <c r="C47" s="8" t="s">
        <v>97</v>
      </c>
    </row>
    <row r="48" spans="1:3" ht="24.95" customHeight="1" x14ac:dyDescent="0.25">
      <c r="A48" s="26" t="s">
        <v>98</v>
      </c>
      <c r="B48" s="27"/>
      <c r="C48" s="28"/>
    </row>
    <row r="49" spans="1:3" ht="21.95" customHeight="1" x14ac:dyDescent="0.25">
      <c r="A49" s="6" t="s">
        <v>99</v>
      </c>
      <c r="B49" s="20" t="s">
        <v>208</v>
      </c>
      <c r="C49" s="8" t="s">
        <v>100</v>
      </c>
    </row>
    <row r="50" spans="1:3" ht="21.95" customHeight="1" x14ac:dyDescent="0.25">
      <c r="A50" s="6" t="s">
        <v>101</v>
      </c>
      <c r="B50" s="9" t="s">
        <v>10</v>
      </c>
      <c r="C50" s="8" t="s">
        <v>102</v>
      </c>
    </row>
    <row r="51" spans="1:3" ht="21.95" customHeight="1" x14ac:dyDescent="0.25">
      <c r="A51" s="6" t="s">
        <v>103</v>
      </c>
      <c r="B51" s="20" t="s">
        <v>230</v>
      </c>
      <c r="C51" s="8" t="s">
        <v>105</v>
      </c>
    </row>
    <row r="52" spans="1:3" ht="24.95" customHeight="1" x14ac:dyDescent="0.25">
      <c r="A52" s="26" t="s">
        <v>106</v>
      </c>
      <c r="B52" s="27"/>
      <c r="C52" s="28"/>
    </row>
    <row r="53" spans="1:3" ht="21.95" customHeight="1" x14ac:dyDescent="0.25">
      <c r="A53" s="6" t="s">
        <v>107</v>
      </c>
      <c r="B53" s="9" t="s">
        <v>10</v>
      </c>
      <c r="C53" s="8" t="s">
        <v>108</v>
      </c>
    </row>
    <row r="54" spans="1:3" ht="24.95" customHeight="1" x14ac:dyDescent="0.25">
      <c r="A54" s="26" t="s">
        <v>109</v>
      </c>
      <c r="B54" s="27"/>
      <c r="C54" s="28"/>
    </row>
    <row r="55" spans="1:3" ht="21.95" customHeight="1" x14ac:dyDescent="0.25">
      <c r="A55" s="6" t="s">
        <v>110</v>
      </c>
      <c r="B55" s="20" t="s">
        <v>231</v>
      </c>
      <c r="C55" s="8" t="s">
        <v>112</v>
      </c>
    </row>
    <row r="56" spans="1:3" ht="21.95" customHeight="1" x14ac:dyDescent="0.25">
      <c r="A56" s="6" t="s">
        <v>113</v>
      </c>
      <c r="B56" s="20" t="s">
        <v>232</v>
      </c>
      <c r="C56" s="8"/>
    </row>
    <row r="57" spans="1:3" ht="21.95" customHeight="1" x14ac:dyDescent="0.25">
      <c r="A57" s="6" t="s">
        <v>115</v>
      </c>
      <c r="B57" s="20" t="s">
        <v>233</v>
      </c>
      <c r="C57" s="8"/>
    </row>
    <row r="58" spans="1:3" ht="21.95" customHeight="1" x14ac:dyDescent="0.25">
      <c r="A58" s="6" t="s">
        <v>117</v>
      </c>
      <c r="B58" s="9" t="s">
        <v>10</v>
      </c>
      <c r="C58" s="8"/>
    </row>
    <row r="59" spans="1:3" ht="21.95" customHeight="1" x14ac:dyDescent="0.25">
      <c r="A59" s="6" t="s">
        <v>119</v>
      </c>
      <c r="B59" s="20" t="s">
        <v>234</v>
      </c>
      <c r="C59" s="8" t="s">
        <v>121</v>
      </c>
    </row>
    <row r="60" spans="1:3" ht="21.95" customHeight="1" x14ac:dyDescent="0.25">
      <c r="A60" s="6" t="s">
        <v>122</v>
      </c>
      <c r="B60" s="20" t="s">
        <v>235</v>
      </c>
      <c r="C60" s="8"/>
    </row>
    <row r="61" spans="1:3" ht="21.95" customHeight="1" x14ac:dyDescent="0.25">
      <c r="A61" s="6" t="s">
        <v>124</v>
      </c>
      <c r="B61" s="20" t="s">
        <v>236</v>
      </c>
      <c r="C61" s="8"/>
    </row>
    <row r="62" spans="1:3" ht="24.95" customHeight="1" x14ac:dyDescent="0.25">
      <c r="A62" s="26" t="s">
        <v>126</v>
      </c>
      <c r="B62" s="27"/>
      <c r="C62" s="28"/>
    </row>
    <row r="63" spans="1:3" ht="21.95" customHeight="1" x14ac:dyDescent="0.25">
      <c r="A63" s="6" t="s">
        <v>127</v>
      </c>
      <c r="B63" s="20" t="s">
        <v>237</v>
      </c>
      <c r="C63" s="8" t="s">
        <v>129</v>
      </c>
    </row>
    <row r="64" spans="1:3" ht="21.95" customHeight="1" x14ac:dyDescent="0.25">
      <c r="A64" s="6" t="s">
        <v>130</v>
      </c>
      <c r="B64" s="20" t="s">
        <v>238</v>
      </c>
      <c r="C64" s="8"/>
    </row>
    <row r="65" spans="1:3" ht="21.95" customHeight="1" x14ac:dyDescent="0.25">
      <c r="A65" s="6" t="s">
        <v>132</v>
      </c>
      <c r="B65" s="20" t="s">
        <v>239</v>
      </c>
      <c r="C65" s="8"/>
    </row>
    <row r="66" spans="1:3" ht="21.95" customHeight="1" x14ac:dyDescent="0.25">
      <c r="A66" s="6" t="s">
        <v>134</v>
      </c>
      <c r="B66" s="20" t="s">
        <v>240</v>
      </c>
      <c r="C66" s="8"/>
    </row>
    <row r="67" spans="1:3" ht="21.95" customHeight="1" x14ac:dyDescent="0.25">
      <c r="A67" s="6" t="s">
        <v>135</v>
      </c>
      <c r="B67" s="20" t="s">
        <v>241</v>
      </c>
      <c r="C67" s="8"/>
    </row>
    <row r="68" spans="1:3" ht="24.95" customHeight="1" x14ac:dyDescent="0.25">
      <c r="A68" s="26" t="s">
        <v>137</v>
      </c>
      <c r="B68" s="27"/>
      <c r="C68" s="28"/>
    </row>
    <row r="69" spans="1:3" ht="21.95" customHeight="1" x14ac:dyDescent="0.25">
      <c r="A69" s="6" t="s">
        <v>138</v>
      </c>
      <c r="B69" s="20" t="s">
        <v>139</v>
      </c>
      <c r="C69" s="8" t="s">
        <v>140</v>
      </c>
    </row>
    <row r="70" spans="1:3" ht="21.95" customHeight="1" x14ac:dyDescent="0.25">
      <c r="A70" s="6" t="s">
        <v>141</v>
      </c>
      <c r="B70" s="20" t="s">
        <v>142</v>
      </c>
      <c r="C70" s="8" t="s">
        <v>143</v>
      </c>
    </row>
    <row r="71" spans="1:3" ht="21.95" customHeight="1" x14ac:dyDescent="0.25">
      <c r="A71" s="6" t="s">
        <v>144</v>
      </c>
      <c r="B71" s="20" t="s">
        <v>242</v>
      </c>
      <c r="C71" s="8" t="s">
        <v>146</v>
      </c>
    </row>
  </sheetData>
  <mergeCells count="12">
    <mergeCell ref="A28:C28"/>
    <mergeCell ref="A41:C41"/>
    <mergeCell ref="A68:C68"/>
    <mergeCell ref="A1:C1"/>
    <mergeCell ref="A23:C23"/>
    <mergeCell ref="A14:C14"/>
    <mergeCell ref="A62:C62"/>
    <mergeCell ref="A34:C34"/>
    <mergeCell ref="A4:C4"/>
    <mergeCell ref="A48:C48"/>
    <mergeCell ref="A54:C54"/>
    <mergeCell ref="A52:C52"/>
  </mergeCells>
  <conditionalFormatting sqref="B5:B71">
    <cfRule type="expression" dxfId="2" priority="1">
      <formula>AND(B5&lt;&gt;"",B5&lt;&gt;"TODO")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</sheetPr>
  <dimension ref="A1:C71"/>
  <sheetViews>
    <sheetView workbookViewId="0">
      <pane ySplit="3" topLeftCell="A4" activePane="bottomLeft" state="frozen"/>
      <selection pane="bottomLeft" activeCell="B11" sqref="B11"/>
    </sheetView>
  </sheetViews>
  <sheetFormatPr defaultRowHeight="15" x14ac:dyDescent="0.25"/>
  <cols>
    <col min="1" max="1" width="35" customWidth="1"/>
    <col min="2" max="3" width="40" customWidth="1"/>
  </cols>
  <sheetData>
    <row r="1" spans="1:3" ht="35.1" customHeight="1" x14ac:dyDescent="0.25">
      <c r="A1" s="29" t="s">
        <v>243</v>
      </c>
      <c r="B1" s="30"/>
      <c r="C1" s="30"/>
    </row>
    <row r="3" spans="1:3" x14ac:dyDescent="0.25">
      <c r="A3" s="2" t="s">
        <v>1</v>
      </c>
      <c r="B3" s="2" t="s">
        <v>2</v>
      </c>
      <c r="C3" s="2" t="s">
        <v>3</v>
      </c>
    </row>
    <row r="4" spans="1:3" ht="24.95" customHeight="1" x14ac:dyDescent="0.25">
      <c r="A4" s="26" t="s">
        <v>4</v>
      </c>
      <c r="B4" s="27"/>
      <c r="C4" s="28"/>
    </row>
    <row r="5" spans="1:3" ht="21.95" customHeight="1" x14ac:dyDescent="0.25">
      <c r="A5" s="6" t="s">
        <v>5</v>
      </c>
      <c r="B5" s="7" t="s">
        <v>156</v>
      </c>
      <c r="C5" s="8"/>
    </row>
    <row r="6" spans="1:3" ht="21.95" customHeight="1" x14ac:dyDescent="0.25">
      <c r="A6" s="6" t="s">
        <v>7</v>
      </c>
      <c r="B6" s="9" t="s">
        <v>10</v>
      </c>
      <c r="C6" s="8"/>
    </row>
    <row r="7" spans="1:3" ht="21.95" customHeight="1" x14ac:dyDescent="0.25">
      <c r="A7" s="6" t="s">
        <v>9</v>
      </c>
      <c r="B7" s="9" t="s">
        <v>10</v>
      </c>
      <c r="C7" s="8" t="s">
        <v>11</v>
      </c>
    </row>
    <row r="8" spans="1:3" ht="21.95" customHeight="1" x14ac:dyDescent="0.25">
      <c r="A8" s="6" t="s">
        <v>12</v>
      </c>
      <c r="B8" s="7" t="s">
        <v>13</v>
      </c>
      <c r="C8" s="8" t="s">
        <v>14</v>
      </c>
    </row>
    <row r="9" spans="1:3" ht="21.95" customHeight="1" x14ac:dyDescent="0.25">
      <c r="A9" s="6" t="s">
        <v>15</v>
      </c>
      <c r="B9" s="7" t="s">
        <v>16</v>
      </c>
      <c r="C9" s="8" t="s">
        <v>17</v>
      </c>
    </row>
    <row r="10" spans="1:3" ht="21.95" customHeight="1" x14ac:dyDescent="0.25">
      <c r="A10" s="6" t="s">
        <v>18</v>
      </c>
      <c r="B10" s="9" t="s">
        <v>177</v>
      </c>
      <c r="C10" s="8" t="s">
        <v>20</v>
      </c>
    </row>
    <row r="11" spans="1:3" ht="21.95" customHeight="1" x14ac:dyDescent="0.25">
      <c r="A11" s="6" t="s">
        <v>21</v>
      </c>
      <c r="B11" s="7" t="s">
        <v>244</v>
      </c>
      <c r="C11" s="8" t="s">
        <v>23</v>
      </c>
    </row>
    <row r="12" spans="1:3" ht="21.95" customHeight="1" x14ac:dyDescent="0.25">
      <c r="A12" s="6" t="s">
        <v>24</v>
      </c>
      <c r="B12" s="9" t="s">
        <v>10</v>
      </c>
      <c r="C12" s="8" t="s">
        <v>26</v>
      </c>
    </row>
    <row r="13" spans="1:3" ht="21.95" customHeight="1" x14ac:dyDescent="0.25">
      <c r="A13" s="6" t="s">
        <v>27</v>
      </c>
      <c r="B13" s="9" t="s">
        <v>10</v>
      </c>
      <c r="C13" s="8" t="s">
        <v>28</v>
      </c>
    </row>
    <row r="14" spans="1:3" ht="24.95" customHeight="1" x14ac:dyDescent="0.25">
      <c r="A14" s="26" t="s">
        <v>29</v>
      </c>
      <c r="B14" s="27"/>
      <c r="C14" s="28"/>
    </row>
    <row r="15" spans="1:3" ht="21.95" customHeight="1" x14ac:dyDescent="0.25">
      <c r="A15" s="6" t="s">
        <v>30</v>
      </c>
      <c r="B15" s="7" t="s">
        <v>157</v>
      </c>
      <c r="C15" s="8" t="s">
        <v>32</v>
      </c>
    </row>
    <row r="16" spans="1:3" ht="21.95" customHeight="1" x14ac:dyDescent="0.25">
      <c r="A16" s="6" t="s">
        <v>33</v>
      </c>
      <c r="B16" s="9" t="s">
        <v>10</v>
      </c>
      <c r="C16" s="8" t="s">
        <v>35</v>
      </c>
    </row>
    <row r="17" spans="1:3" ht="21.95" customHeight="1" x14ac:dyDescent="0.25">
      <c r="A17" s="6" t="s">
        <v>36</v>
      </c>
      <c r="B17" s="9" t="s">
        <v>10</v>
      </c>
      <c r="C17" s="8"/>
    </row>
    <row r="18" spans="1:3" ht="21.95" customHeight="1" x14ac:dyDescent="0.25">
      <c r="A18" s="6" t="s">
        <v>38</v>
      </c>
      <c r="B18" s="9" t="s">
        <v>10</v>
      </c>
      <c r="C18" s="8" t="s">
        <v>39</v>
      </c>
    </row>
    <row r="19" spans="1:3" ht="21.95" customHeight="1" x14ac:dyDescent="0.25">
      <c r="A19" s="6" t="s">
        <v>40</v>
      </c>
      <c r="B19" s="9" t="s">
        <v>10</v>
      </c>
      <c r="C19" s="8" t="s">
        <v>42</v>
      </c>
    </row>
    <row r="20" spans="1:3" ht="21.95" customHeight="1" x14ac:dyDescent="0.25">
      <c r="A20" s="6" t="s">
        <v>43</v>
      </c>
      <c r="B20" s="9" t="s">
        <v>10</v>
      </c>
      <c r="C20" s="8" t="s">
        <v>44</v>
      </c>
    </row>
    <row r="21" spans="1:3" ht="21.95" customHeight="1" x14ac:dyDescent="0.25">
      <c r="A21" s="6" t="s">
        <v>45</v>
      </c>
      <c r="B21" s="9" t="s">
        <v>10</v>
      </c>
      <c r="C21" s="8" t="s">
        <v>46</v>
      </c>
    </row>
    <row r="22" spans="1:3" ht="21.95" customHeight="1" x14ac:dyDescent="0.25">
      <c r="A22" s="6" t="s">
        <v>47</v>
      </c>
      <c r="B22" s="9" t="s">
        <v>10</v>
      </c>
      <c r="C22" s="8" t="s">
        <v>48</v>
      </c>
    </row>
    <row r="23" spans="1:3" ht="24.95" customHeight="1" x14ac:dyDescent="0.25">
      <c r="A23" s="26" t="s">
        <v>49</v>
      </c>
      <c r="B23" s="27"/>
      <c r="C23" s="28"/>
    </row>
    <row r="24" spans="1:3" ht="21.95" customHeight="1" x14ac:dyDescent="0.25">
      <c r="A24" s="6" t="s">
        <v>50</v>
      </c>
      <c r="B24" s="9" t="s">
        <v>10</v>
      </c>
      <c r="C24" s="8" t="s">
        <v>51</v>
      </c>
    </row>
    <row r="25" spans="1:3" ht="21.95" customHeight="1" x14ac:dyDescent="0.25">
      <c r="A25" s="6" t="s">
        <v>52</v>
      </c>
      <c r="B25" s="9" t="s">
        <v>10</v>
      </c>
      <c r="C25" s="8" t="s">
        <v>53</v>
      </c>
    </row>
    <row r="26" spans="1:3" ht="21.95" customHeight="1" x14ac:dyDescent="0.25">
      <c r="A26" s="6" t="s">
        <v>54</v>
      </c>
      <c r="B26" s="9" t="s">
        <v>10</v>
      </c>
      <c r="C26" s="8" t="s">
        <v>55</v>
      </c>
    </row>
    <row r="27" spans="1:3" ht="21.95" customHeight="1" x14ac:dyDescent="0.25">
      <c r="A27" s="6" t="s">
        <v>56</v>
      </c>
      <c r="B27" s="9" t="s">
        <v>10</v>
      </c>
      <c r="C27" s="8" t="s">
        <v>58</v>
      </c>
    </row>
    <row r="28" spans="1:3" ht="24.95" customHeight="1" x14ac:dyDescent="0.25">
      <c r="A28" s="26" t="s">
        <v>59</v>
      </c>
      <c r="B28" s="27"/>
      <c r="C28" s="28"/>
    </row>
    <row r="29" spans="1:3" ht="21.95" customHeight="1" x14ac:dyDescent="0.25">
      <c r="A29" s="6" t="s">
        <v>60</v>
      </c>
      <c r="B29" s="9" t="s">
        <v>10</v>
      </c>
      <c r="C29" s="8" t="s">
        <v>61</v>
      </c>
    </row>
    <row r="30" spans="1:3" ht="21.95" customHeight="1" x14ac:dyDescent="0.25">
      <c r="A30" s="6" t="s">
        <v>62</v>
      </c>
      <c r="B30" s="9" t="s">
        <v>10</v>
      </c>
      <c r="C30" s="8" t="s">
        <v>63</v>
      </c>
    </row>
    <row r="31" spans="1:3" ht="21.95" customHeight="1" x14ac:dyDescent="0.25">
      <c r="A31" s="6" t="s">
        <v>64</v>
      </c>
      <c r="B31" s="9" t="s">
        <v>10</v>
      </c>
      <c r="C31" s="8" t="s">
        <v>65</v>
      </c>
    </row>
    <row r="32" spans="1:3" ht="21.95" customHeight="1" x14ac:dyDescent="0.25">
      <c r="A32" s="6" t="s">
        <v>66</v>
      </c>
      <c r="B32" s="9" t="s">
        <v>10</v>
      </c>
      <c r="C32" s="8" t="s">
        <v>14</v>
      </c>
    </row>
    <row r="33" spans="1:3" ht="21.95" customHeight="1" x14ac:dyDescent="0.25">
      <c r="A33" s="6" t="s">
        <v>67</v>
      </c>
      <c r="B33" s="9" t="s">
        <v>10</v>
      </c>
      <c r="C33" s="8" t="s">
        <v>68</v>
      </c>
    </row>
    <row r="34" spans="1:3" ht="24.95" customHeight="1" x14ac:dyDescent="0.25">
      <c r="A34" s="26" t="s">
        <v>69</v>
      </c>
      <c r="B34" s="27"/>
      <c r="C34" s="28"/>
    </row>
    <row r="35" spans="1:3" ht="21.95" customHeight="1" x14ac:dyDescent="0.25">
      <c r="A35" s="6" t="s">
        <v>70</v>
      </c>
      <c r="B35" s="9" t="s">
        <v>10</v>
      </c>
      <c r="C35" s="8" t="s">
        <v>72</v>
      </c>
    </row>
    <row r="36" spans="1:3" ht="21.95" customHeight="1" x14ac:dyDescent="0.25">
      <c r="A36" s="6" t="s">
        <v>73</v>
      </c>
      <c r="B36" s="9" t="s">
        <v>10</v>
      </c>
      <c r="C36" s="8" t="s">
        <v>74</v>
      </c>
    </row>
    <row r="37" spans="1:3" ht="21.95" customHeight="1" x14ac:dyDescent="0.25">
      <c r="A37" s="6" t="s">
        <v>75</v>
      </c>
      <c r="B37" s="9" t="s">
        <v>10</v>
      </c>
      <c r="C37" s="8" t="s">
        <v>14</v>
      </c>
    </row>
    <row r="38" spans="1:3" ht="21.95" customHeight="1" x14ac:dyDescent="0.25">
      <c r="A38" s="6" t="s">
        <v>77</v>
      </c>
      <c r="B38" s="9" t="s">
        <v>10</v>
      </c>
      <c r="C38" s="8" t="s">
        <v>79</v>
      </c>
    </row>
    <row r="39" spans="1:3" ht="21.95" customHeight="1" x14ac:dyDescent="0.25">
      <c r="A39" s="6" t="s">
        <v>80</v>
      </c>
      <c r="B39" s="9" t="s">
        <v>10</v>
      </c>
      <c r="C39" s="8" t="s">
        <v>81</v>
      </c>
    </row>
    <row r="40" spans="1:3" ht="21.95" customHeight="1" x14ac:dyDescent="0.25">
      <c r="A40" s="6" t="s">
        <v>82</v>
      </c>
      <c r="B40" s="9" t="s">
        <v>10</v>
      </c>
      <c r="C40" s="8" t="s">
        <v>83</v>
      </c>
    </row>
    <row r="41" spans="1:3" ht="24.95" customHeight="1" x14ac:dyDescent="0.25">
      <c r="A41" s="26" t="s">
        <v>84</v>
      </c>
      <c r="B41" s="27"/>
      <c r="C41" s="28"/>
    </row>
    <row r="42" spans="1:3" ht="21.95" customHeight="1" x14ac:dyDescent="0.25">
      <c r="A42" s="6" t="s">
        <v>85</v>
      </c>
      <c r="B42" s="9" t="s">
        <v>10</v>
      </c>
      <c r="C42" s="8" t="s">
        <v>87</v>
      </c>
    </row>
    <row r="43" spans="1:3" ht="21.95" customHeight="1" x14ac:dyDescent="0.25">
      <c r="A43" s="6" t="s">
        <v>88</v>
      </c>
      <c r="B43" s="9" t="s">
        <v>10</v>
      </c>
      <c r="C43" s="8" t="s">
        <v>90</v>
      </c>
    </row>
    <row r="44" spans="1:3" ht="21.95" customHeight="1" x14ac:dyDescent="0.25">
      <c r="A44" s="6" t="s">
        <v>91</v>
      </c>
      <c r="B44" s="9" t="s">
        <v>10</v>
      </c>
      <c r="C44" s="8" t="s">
        <v>92</v>
      </c>
    </row>
    <row r="45" spans="1:3" ht="21.95" customHeight="1" x14ac:dyDescent="0.25">
      <c r="A45" s="6" t="s">
        <v>93</v>
      </c>
      <c r="B45" s="9" t="s">
        <v>10</v>
      </c>
      <c r="C45" s="8" t="s">
        <v>94</v>
      </c>
    </row>
    <row r="46" spans="1:3" ht="21.95" customHeight="1" x14ac:dyDescent="0.25">
      <c r="A46" s="6" t="s">
        <v>95</v>
      </c>
      <c r="B46" s="9" t="s">
        <v>10</v>
      </c>
      <c r="C46" s="8" t="s">
        <v>14</v>
      </c>
    </row>
    <row r="47" spans="1:3" ht="21.95" customHeight="1" x14ac:dyDescent="0.25">
      <c r="A47" s="6" t="s">
        <v>96</v>
      </c>
      <c r="B47" s="9" t="s">
        <v>10</v>
      </c>
      <c r="C47" s="8" t="s">
        <v>97</v>
      </c>
    </row>
    <row r="48" spans="1:3" ht="24.95" customHeight="1" x14ac:dyDescent="0.25">
      <c r="A48" s="26" t="s">
        <v>98</v>
      </c>
      <c r="B48" s="27"/>
      <c r="C48" s="28"/>
    </row>
    <row r="49" spans="1:3" ht="21.95" customHeight="1" x14ac:dyDescent="0.25">
      <c r="A49" s="6" t="s">
        <v>99</v>
      </c>
      <c r="B49" s="9" t="s">
        <v>10</v>
      </c>
      <c r="C49" s="8" t="s">
        <v>100</v>
      </c>
    </row>
    <row r="50" spans="1:3" ht="21.95" customHeight="1" x14ac:dyDescent="0.25">
      <c r="A50" s="6" t="s">
        <v>101</v>
      </c>
      <c r="B50" s="9" t="s">
        <v>10</v>
      </c>
      <c r="C50" s="8" t="s">
        <v>102</v>
      </c>
    </row>
    <row r="51" spans="1:3" ht="21.95" customHeight="1" x14ac:dyDescent="0.25">
      <c r="A51" s="6" t="s">
        <v>103</v>
      </c>
      <c r="B51" s="9" t="s">
        <v>10</v>
      </c>
      <c r="C51" s="8" t="s">
        <v>105</v>
      </c>
    </row>
    <row r="52" spans="1:3" ht="24.95" customHeight="1" x14ac:dyDescent="0.25">
      <c r="A52" s="26" t="s">
        <v>106</v>
      </c>
      <c r="B52" s="27"/>
      <c r="C52" s="28"/>
    </row>
    <row r="53" spans="1:3" ht="21.95" customHeight="1" x14ac:dyDescent="0.25">
      <c r="A53" s="6" t="s">
        <v>107</v>
      </c>
      <c r="B53" s="9" t="s">
        <v>10</v>
      </c>
      <c r="C53" s="8" t="s">
        <v>108</v>
      </c>
    </row>
    <row r="54" spans="1:3" ht="24.95" customHeight="1" x14ac:dyDescent="0.25">
      <c r="A54" s="26" t="s">
        <v>109</v>
      </c>
      <c r="B54" s="27"/>
      <c r="C54" s="28"/>
    </row>
    <row r="55" spans="1:3" ht="21.95" customHeight="1" x14ac:dyDescent="0.25">
      <c r="A55" s="6" t="s">
        <v>110</v>
      </c>
      <c r="B55" s="9" t="s">
        <v>10</v>
      </c>
      <c r="C55" s="8" t="s">
        <v>112</v>
      </c>
    </row>
    <row r="56" spans="1:3" ht="21.95" customHeight="1" x14ac:dyDescent="0.25">
      <c r="A56" s="6" t="s">
        <v>113</v>
      </c>
      <c r="B56" s="9" t="s">
        <v>10</v>
      </c>
      <c r="C56" s="8"/>
    </row>
    <row r="57" spans="1:3" ht="21.95" customHeight="1" x14ac:dyDescent="0.25">
      <c r="A57" s="6" t="s">
        <v>115</v>
      </c>
      <c r="B57" s="9" t="s">
        <v>10</v>
      </c>
      <c r="C57" s="8"/>
    </row>
    <row r="58" spans="1:3" ht="21.95" customHeight="1" x14ac:dyDescent="0.25">
      <c r="A58" s="6" t="s">
        <v>117</v>
      </c>
      <c r="B58" s="9" t="s">
        <v>10</v>
      </c>
      <c r="C58" s="8"/>
    </row>
    <row r="59" spans="1:3" ht="21.95" customHeight="1" x14ac:dyDescent="0.25">
      <c r="A59" s="6" t="s">
        <v>119</v>
      </c>
      <c r="B59" s="9" t="s">
        <v>10</v>
      </c>
      <c r="C59" s="8" t="s">
        <v>121</v>
      </c>
    </row>
    <row r="60" spans="1:3" ht="21.95" customHeight="1" x14ac:dyDescent="0.25">
      <c r="A60" s="6" t="s">
        <v>122</v>
      </c>
      <c r="B60" s="9" t="s">
        <v>10</v>
      </c>
      <c r="C60" s="8"/>
    </row>
    <row r="61" spans="1:3" ht="21.95" customHeight="1" x14ac:dyDescent="0.25">
      <c r="A61" s="6" t="s">
        <v>124</v>
      </c>
      <c r="B61" s="9" t="s">
        <v>10</v>
      </c>
      <c r="C61" s="8"/>
    </row>
    <row r="62" spans="1:3" ht="24.95" customHeight="1" x14ac:dyDescent="0.25">
      <c r="A62" s="26" t="s">
        <v>126</v>
      </c>
      <c r="B62" s="27"/>
      <c r="C62" s="28"/>
    </row>
    <row r="63" spans="1:3" ht="21.95" customHeight="1" x14ac:dyDescent="0.25">
      <c r="A63" s="6" t="s">
        <v>127</v>
      </c>
      <c r="B63" s="9" t="s">
        <v>10</v>
      </c>
      <c r="C63" s="8" t="s">
        <v>129</v>
      </c>
    </row>
    <row r="64" spans="1:3" ht="21.95" customHeight="1" x14ac:dyDescent="0.25">
      <c r="A64" s="6" t="s">
        <v>130</v>
      </c>
      <c r="B64" s="9" t="s">
        <v>10</v>
      </c>
      <c r="C64" s="8"/>
    </row>
    <row r="65" spans="1:3" ht="21.95" customHeight="1" x14ac:dyDescent="0.25">
      <c r="A65" s="6" t="s">
        <v>132</v>
      </c>
      <c r="B65" s="9" t="s">
        <v>10</v>
      </c>
      <c r="C65" s="8"/>
    </row>
    <row r="66" spans="1:3" ht="21.95" customHeight="1" x14ac:dyDescent="0.25">
      <c r="A66" s="6" t="s">
        <v>134</v>
      </c>
      <c r="B66" s="9" t="s">
        <v>10</v>
      </c>
      <c r="C66" s="8"/>
    </row>
    <row r="67" spans="1:3" ht="21.95" customHeight="1" x14ac:dyDescent="0.25">
      <c r="A67" s="6" t="s">
        <v>135</v>
      </c>
      <c r="B67" s="9" t="s">
        <v>10</v>
      </c>
      <c r="C67" s="8"/>
    </row>
    <row r="68" spans="1:3" ht="24.95" customHeight="1" x14ac:dyDescent="0.25">
      <c r="A68" s="26" t="s">
        <v>137</v>
      </c>
      <c r="B68" s="27"/>
      <c r="C68" s="28"/>
    </row>
    <row r="69" spans="1:3" ht="21.95" customHeight="1" x14ac:dyDescent="0.25">
      <c r="A69" s="6" t="s">
        <v>138</v>
      </c>
      <c r="B69" s="9" t="s">
        <v>10</v>
      </c>
      <c r="C69" s="8" t="s">
        <v>140</v>
      </c>
    </row>
    <row r="70" spans="1:3" ht="21.95" customHeight="1" x14ac:dyDescent="0.25">
      <c r="A70" s="6" t="s">
        <v>141</v>
      </c>
      <c r="B70" s="9" t="s">
        <v>10</v>
      </c>
      <c r="C70" s="8" t="s">
        <v>143</v>
      </c>
    </row>
    <row r="71" spans="1:3" ht="21.95" customHeight="1" x14ac:dyDescent="0.25">
      <c r="A71" s="6" t="s">
        <v>144</v>
      </c>
      <c r="B71" s="9" t="s">
        <v>10</v>
      </c>
      <c r="C71" s="8" t="s">
        <v>146</v>
      </c>
    </row>
  </sheetData>
  <mergeCells count="12">
    <mergeCell ref="A28:C28"/>
    <mergeCell ref="A41:C41"/>
    <mergeCell ref="A68:C68"/>
    <mergeCell ref="A1:C1"/>
    <mergeCell ref="A23:C23"/>
    <mergeCell ref="A14:C14"/>
    <mergeCell ref="A62:C62"/>
    <mergeCell ref="A34:C34"/>
    <mergeCell ref="A4:C4"/>
    <mergeCell ref="A48:C48"/>
    <mergeCell ref="A54:C54"/>
    <mergeCell ref="A52:C52"/>
  </mergeCells>
  <conditionalFormatting sqref="B5:B71">
    <cfRule type="expression" dxfId="1" priority="1">
      <formula>AND(B5&lt;&gt;"",B5&lt;&gt;"TODO")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C71"/>
  <sheetViews>
    <sheetView workbookViewId="0">
      <pane ySplit="3" topLeftCell="A4" activePane="bottomLeft" state="frozen"/>
      <selection pane="bottomLeft" sqref="A1:C1"/>
    </sheetView>
  </sheetViews>
  <sheetFormatPr defaultRowHeight="15" x14ac:dyDescent="0.25"/>
  <cols>
    <col min="1" max="1" width="35" customWidth="1"/>
    <col min="2" max="3" width="40" customWidth="1"/>
  </cols>
  <sheetData>
    <row r="1" spans="1:3" ht="35.1" customHeight="1" x14ac:dyDescent="0.25">
      <c r="A1" s="37" t="s">
        <v>245</v>
      </c>
      <c r="B1" s="30"/>
      <c r="C1" s="30"/>
    </row>
    <row r="3" spans="1:3" x14ac:dyDescent="0.25">
      <c r="A3" s="21" t="s">
        <v>1</v>
      </c>
      <c r="B3" s="21" t="s">
        <v>2</v>
      </c>
      <c r="C3" s="21" t="s">
        <v>3</v>
      </c>
    </row>
    <row r="4" spans="1:3" ht="24.95" customHeight="1" x14ac:dyDescent="0.25">
      <c r="A4" s="35" t="s">
        <v>4</v>
      </c>
      <c r="B4" s="36"/>
      <c r="C4" s="36"/>
    </row>
    <row r="5" spans="1:3" ht="21.95" customHeight="1" x14ac:dyDescent="0.25">
      <c r="A5" s="22" t="s">
        <v>5</v>
      </c>
      <c r="B5" s="23" t="s">
        <v>158</v>
      </c>
      <c r="C5" s="24"/>
    </row>
    <row r="6" spans="1:3" ht="21.95" customHeight="1" x14ac:dyDescent="0.25">
      <c r="A6" s="22" t="s">
        <v>7</v>
      </c>
      <c r="B6" s="23" t="s">
        <v>246</v>
      </c>
      <c r="C6" s="24"/>
    </row>
    <row r="7" spans="1:3" ht="21.95" customHeight="1" x14ac:dyDescent="0.25">
      <c r="A7" s="22" t="s">
        <v>9</v>
      </c>
      <c r="B7" s="25" t="s">
        <v>10</v>
      </c>
      <c r="C7" s="24" t="s">
        <v>11</v>
      </c>
    </row>
    <row r="8" spans="1:3" ht="21.95" customHeight="1" x14ac:dyDescent="0.25">
      <c r="A8" s="22" t="s">
        <v>12</v>
      </c>
      <c r="B8" s="23" t="s">
        <v>13</v>
      </c>
      <c r="C8" s="24" t="s">
        <v>14</v>
      </c>
    </row>
    <row r="9" spans="1:3" ht="21.95" customHeight="1" x14ac:dyDescent="0.25">
      <c r="A9" s="22" t="s">
        <v>15</v>
      </c>
      <c r="B9" s="23" t="s">
        <v>16</v>
      </c>
      <c r="C9" s="24" t="s">
        <v>17</v>
      </c>
    </row>
    <row r="10" spans="1:3" ht="21.95" customHeight="1" x14ac:dyDescent="0.25">
      <c r="A10" s="22" t="s">
        <v>18</v>
      </c>
      <c r="B10" s="23" t="s">
        <v>19</v>
      </c>
      <c r="C10" s="24" t="s">
        <v>20</v>
      </c>
    </row>
    <row r="11" spans="1:3" ht="21.95" customHeight="1" x14ac:dyDescent="0.25">
      <c r="A11" s="22" t="s">
        <v>21</v>
      </c>
      <c r="B11" s="23" t="s">
        <v>22</v>
      </c>
      <c r="C11" s="24" t="s">
        <v>23</v>
      </c>
    </row>
    <row r="12" spans="1:3" ht="21.95" customHeight="1" x14ac:dyDescent="0.25">
      <c r="A12" s="22" t="s">
        <v>24</v>
      </c>
      <c r="B12" s="23" t="s">
        <v>247</v>
      </c>
      <c r="C12" s="24" t="s">
        <v>26</v>
      </c>
    </row>
    <row r="13" spans="1:3" ht="21.95" customHeight="1" x14ac:dyDescent="0.25">
      <c r="A13" s="22" t="s">
        <v>27</v>
      </c>
      <c r="B13" s="25" t="s">
        <v>10</v>
      </c>
      <c r="C13" s="24" t="s">
        <v>28</v>
      </c>
    </row>
    <row r="14" spans="1:3" ht="24.95" customHeight="1" x14ac:dyDescent="0.25">
      <c r="A14" s="35" t="s">
        <v>29</v>
      </c>
      <c r="B14" s="36"/>
      <c r="C14" s="36"/>
    </row>
    <row r="15" spans="1:3" ht="21.95" customHeight="1" x14ac:dyDescent="0.25">
      <c r="A15" s="22" t="s">
        <v>30</v>
      </c>
      <c r="B15" s="23" t="s">
        <v>31</v>
      </c>
      <c r="C15" s="24" t="s">
        <v>32</v>
      </c>
    </row>
    <row r="16" spans="1:3" ht="21.95" customHeight="1" x14ac:dyDescent="0.25">
      <c r="A16" s="22" t="s">
        <v>33</v>
      </c>
      <c r="B16" s="23" t="s">
        <v>248</v>
      </c>
      <c r="C16" s="24" t="s">
        <v>35</v>
      </c>
    </row>
    <row r="17" spans="1:3" ht="21.95" customHeight="1" x14ac:dyDescent="0.25">
      <c r="A17" s="22" t="s">
        <v>36</v>
      </c>
      <c r="B17" s="23" t="s">
        <v>249</v>
      </c>
      <c r="C17" s="24"/>
    </row>
    <row r="18" spans="1:3" ht="21.95" customHeight="1" x14ac:dyDescent="0.25">
      <c r="A18" s="22" t="s">
        <v>38</v>
      </c>
      <c r="B18" s="25" t="s">
        <v>10</v>
      </c>
      <c r="C18" s="24" t="s">
        <v>39</v>
      </c>
    </row>
    <row r="19" spans="1:3" ht="21.95" customHeight="1" x14ac:dyDescent="0.25">
      <c r="A19" s="22" t="s">
        <v>40</v>
      </c>
      <c r="B19" s="23" t="s">
        <v>250</v>
      </c>
      <c r="C19" s="24" t="s">
        <v>42</v>
      </c>
    </row>
    <row r="20" spans="1:3" ht="21.95" customHeight="1" x14ac:dyDescent="0.25">
      <c r="A20" s="22" t="s">
        <v>43</v>
      </c>
      <c r="B20" s="25" t="s">
        <v>10</v>
      </c>
      <c r="C20" s="24" t="s">
        <v>44</v>
      </c>
    </row>
    <row r="21" spans="1:3" ht="21.95" customHeight="1" x14ac:dyDescent="0.25">
      <c r="A21" s="22" t="s">
        <v>45</v>
      </c>
      <c r="B21" s="25" t="s">
        <v>10</v>
      </c>
      <c r="C21" s="24" t="s">
        <v>46</v>
      </c>
    </row>
    <row r="22" spans="1:3" ht="21.95" customHeight="1" x14ac:dyDescent="0.25">
      <c r="A22" s="22" t="s">
        <v>47</v>
      </c>
      <c r="B22" s="25" t="s">
        <v>10</v>
      </c>
      <c r="C22" s="24" t="s">
        <v>48</v>
      </c>
    </row>
    <row r="23" spans="1:3" ht="24.95" customHeight="1" x14ac:dyDescent="0.25">
      <c r="A23" s="35" t="s">
        <v>49</v>
      </c>
      <c r="B23" s="36"/>
      <c r="C23" s="36"/>
    </row>
    <row r="24" spans="1:3" ht="21.95" customHeight="1" x14ac:dyDescent="0.25">
      <c r="A24" s="22" t="s">
        <v>50</v>
      </c>
      <c r="B24" s="23">
        <v>126</v>
      </c>
      <c r="C24" s="24" t="s">
        <v>51</v>
      </c>
    </row>
    <row r="25" spans="1:3" ht="21.95" customHeight="1" x14ac:dyDescent="0.25">
      <c r="A25" s="22" t="s">
        <v>52</v>
      </c>
      <c r="B25" s="23">
        <v>15</v>
      </c>
      <c r="C25" s="24" t="s">
        <v>53</v>
      </c>
    </row>
    <row r="26" spans="1:3" ht="21.95" customHeight="1" x14ac:dyDescent="0.25">
      <c r="A26" s="22" t="s">
        <v>54</v>
      </c>
      <c r="B26" s="23">
        <v>27</v>
      </c>
      <c r="C26" s="24" t="s">
        <v>55</v>
      </c>
    </row>
    <row r="27" spans="1:3" ht="21.95" customHeight="1" x14ac:dyDescent="0.25">
      <c r="A27" s="22" t="s">
        <v>56</v>
      </c>
      <c r="B27" s="23" t="s">
        <v>251</v>
      </c>
      <c r="C27" s="24" t="s">
        <v>58</v>
      </c>
    </row>
    <row r="28" spans="1:3" ht="24.95" customHeight="1" x14ac:dyDescent="0.25">
      <c r="A28" s="35" t="s">
        <v>59</v>
      </c>
      <c r="B28" s="36"/>
      <c r="C28" s="36"/>
    </row>
    <row r="29" spans="1:3" ht="21.95" customHeight="1" x14ac:dyDescent="0.25">
      <c r="A29" s="22" t="s">
        <v>60</v>
      </c>
      <c r="B29" s="23">
        <v>149500</v>
      </c>
      <c r="C29" s="24" t="s">
        <v>61</v>
      </c>
    </row>
    <row r="30" spans="1:3" ht="21.95" customHeight="1" x14ac:dyDescent="0.25">
      <c r="A30" s="22" t="s">
        <v>62</v>
      </c>
      <c r="B30" s="23">
        <v>189500</v>
      </c>
      <c r="C30" s="24" t="s">
        <v>63</v>
      </c>
    </row>
    <row r="31" spans="1:3" ht="21.95" customHeight="1" x14ac:dyDescent="0.25">
      <c r="A31" s="22" t="s">
        <v>64</v>
      </c>
      <c r="B31" s="23" t="s">
        <v>252</v>
      </c>
      <c r="C31" s="24" t="s">
        <v>65</v>
      </c>
    </row>
    <row r="32" spans="1:3" ht="21.95" customHeight="1" x14ac:dyDescent="0.25">
      <c r="A32" s="22" t="s">
        <v>66</v>
      </c>
      <c r="B32" s="25" t="s">
        <v>10</v>
      </c>
      <c r="C32" s="24" t="s">
        <v>14</v>
      </c>
    </row>
    <row r="33" spans="1:3" ht="21.95" customHeight="1" x14ac:dyDescent="0.25">
      <c r="A33" s="22" t="s">
        <v>67</v>
      </c>
      <c r="B33" s="25" t="s">
        <v>10</v>
      </c>
      <c r="C33" s="24" t="s">
        <v>68</v>
      </c>
    </row>
    <row r="34" spans="1:3" ht="24.95" customHeight="1" x14ac:dyDescent="0.25">
      <c r="A34" s="35" t="s">
        <v>69</v>
      </c>
      <c r="B34" s="36"/>
      <c r="C34" s="36"/>
    </row>
    <row r="35" spans="1:3" ht="21.95" customHeight="1" x14ac:dyDescent="0.25">
      <c r="A35" s="22" t="s">
        <v>70</v>
      </c>
      <c r="B35" s="25" t="s">
        <v>10</v>
      </c>
      <c r="C35" s="24" t="s">
        <v>72</v>
      </c>
    </row>
    <row r="36" spans="1:3" ht="21.95" customHeight="1" x14ac:dyDescent="0.25">
      <c r="A36" s="22" t="s">
        <v>73</v>
      </c>
      <c r="B36" s="25" t="s">
        <v>10</v>
      </c>
      <c r="C36" s="24" t="s">
        <v>74</v>
      </c>
    </row>
    <row r="37" spans="1:3" ht="21.95" customHeight="1" x14ac:dyDescent="0.25">
      <c r="A37" s="22" t="s">
        <v>75</v>
      </c>
      <c r="B37" s="23" t="s">
        <v>253</v>
      </c>
      <c r="C37" s="24" t="s">
        <v>14</v>
      </c>
    </row>
    <row r="38" spans="1:3" ht="21.95" customHeight="1" x14ac:dyDescent="0.25">
      <c r="A38" s="22" t="s">
        <v>77</v>
      </c>
      <c r="B38" s="25" t="s">
        <v>10</v>
      </c>
      <c r="C38" s="24" t="s">
        <v>79</v>
      </c>
    </row>
    <row r="39" spans="1:3" ht="21.95" customHeight="1" x14ac:dyDescent="0.25">
      <c r="A39" s="22" t="s">
        <v>80</v>
      </c>
      <c r="B39" s="25" t="s">
        <v>10</v>
      </c>
      <c r="C39" s="24" t="s">
        <v>81</v>
      </c>
    </row>
    <row r="40" spans="1:3" ht="21.95" customHeight="1" x14ac:dyDescent="0.25">
      <c r="A40" s="22" t="s">
        <v>82</v>
      </c>
      <c r="B40" s="25" t="s">
        <v>10</v>
      </c>
      <c r="C40" s="24" t="s">
        <v>83</v>
      </c>
    </row>
    <row r="41" spans="1:3" ht="24.95" customHeight="1" x14ac:dyDescent="0.25">
      <c r="A41" s="35" t="s">
        <v>84</v>
      </c>
      <c r="B41" s="36"/>
      <c r="C41" s="36"/>
    </row>
    <row r="42" spans="1:3" ht="21.95" customHeight="1" x14ac:dyDescent="0.25">
      <c r="A42" s="22" t="s">
        <v>85</v>
      </c>
      <c r="B42" s="23" t="s">
        <v>86</v>
      </c>
      <c r="C42" s="24" t="s">
        <v>87</v>
      </c>
    </row>
    <row r="43" spans="1:3" ht="21.95" customHeight="1" x14ac:dyDescent="0.25">
      <c r="A43" s="22" t="s">
        <v>88</v>
      </c>
      <c r="B43" s="23" t="s">
        <v>254</v>
      </c>
      <c r="C43" s="24" t="s">
        <v>90</v>
      </c>
    </row>
    <row r="44" spans="1:3" ht="21.95" customHeight="1" x14ac:dyDescent="0.25">
      <c r="A44" s="22" t="s">
        <v>91</v>
      </c>
      <c r="B44" s="25" t="s">
        <v>10</v>
      </c>
      <c r="C44" s="24" t="s">
        <v>92</v>
      </c>
    </row>
    <row r="45" spans="1:3" ht="21.95" customHeight="1" x14ac:dyDescent="0.25">
      <c r="A45" s="22" t="s">
        <v>93</v>
      </c>
      <c r="B45" s="25" t="s">
        <v>10</v>
      </c>
      <c r="C45" s="24" t="s">
        <v>94</v>
      </c>
    </row>
    <row r="46" spans="1:3" ht="21.95" customHeight="1" x14ac:dyDescent="0.25">
      <c r="A46" s="22" t="s">
        <v>95</v>
      </c>
      <c r="B46" s="25" t="s">
        <v>10</v>
      </c>
      <c r="C46" s="24" t="s">
        <v>14</v>
      </c>
    </row>
    <row r="47" spans="1:3" ht="21.95" customHeight="1" x14ac:dyDescent="0.25">
      <c r="A47" s="22" t="s">
        <v>96</v>
      </c>
      <c r="B47" s="25" t="s">
        <v>10</v>
      </c>
      <c r="C47" s="24" t="s">
        <v>97</v>
      </c>
    </row>
    <row r="48" spans="1:3" ht="24.95" customHeight="1" x14ac:dyDescent="0.25">
      <c r="A48" s="35" t="s">
        <v>98</v>
      </c>
      <c r="B48" s="36"/>
      <c r="C48" s="36"/>
    </row>
    <row r="49" spans="1:3" ht="21.95" customHeight="1" x14ac:dyDescent="0.25">
      <c r="A49" s="22" t="s">
        <v>99</v>
      </c>
      <c r="B49" s="25" t="s">
        <v>10</v>
      </c>
      <c r="C49" s="24" t="s">
        <v>100</v>
      </c>
    </row>
    <row r="50" spans="1:3" ht="21.95" customHeight="1" x14ac:dyDescent="0.25">
      <c r="A50" s="22" t="s">
        <v>101</v>
      </c>
      <c r="B50" s="25" t="s">
        <v>10</v>
      </c>
      <c r="C50" s="24" t="s">
        <v>102</v>
      </c>
    </row>
    <row r="51" spans="1:3" ht="21.95" customHeight="1" x14ac:dyDescent="0.25">
      <c r="A51" s="22" t="s">
        <v>103</v>
      </c>
      <c r="B51" s="23" t="s">
        <v>255</v>
      </c>
      <c r="C51" s="24" t="s">
        <v>105</v>
      </c>
    </row>
    <row r="52" spans="1:3" ht="24.95" customHeight="1" x14ac:dyDescent="0.25">
      <c r="A52" s="35" t="s">
        <v>106</v>
      </c>
      <c r="B52" s="36"/>
      <c r="C52" s="36"/>
    </row>
    <row r="53" spans="1:3" ht="21.95" customHeight="1" x14ac:dyDescent="0.25">
      <c r="A53" s="22" t="s">
        <v>107</v>
      </c>
      <c r="B53" s="23" t="s">
        <v>256</v>
      </c>
      <c r="C53" s="24" t="s">
        <v>108</v>
      </c>
    </row>
    <row r="54" spans="1:3" ht="24.95" customHeight="1" x14ac:dyDescent="0.25">
      <c r="A54" s="35" t="s">
        <v>109</v>
      </c>
      <c r="B54" s="36"/>
      <c r="C54" s="36"/>
    </row>
    <row r="55" spans="1:3" ht="21.95" customHeight="1" x14ac:dyDescent="0.25">
      <c r="A55" s="22" t="s">
        <v>110</v>
      </c>
      <c r="B55" s="23" t="s">
        <v>257</v>
      </c>
      <c r="C55" s="24" t="s">
        <v>112</v>
      </c>
    </row>
    <row r="56" spans="1:3" ht="21.95" customHeight="1" x14ac:dyDescent="0.25">
      <c r="A56" s="22" t="s">
        <v>113</v>
      </c>
      <c r="B56" s="23" t="s">
        <v>258</v>
      </c>
      <c r="C56" s="24"/>
    </row>
    <row r="57" spans="1:3" ht="21.95" customHeight="1" x14ac:dyDescent="0.25">
      <c r="A57" s="22" t="s">
        <v>115</v>
      </c>
      <c r="B57" s="23" t="s">
        <v>259</v>
      </c>
      <c r="C57" s="24"/>
    </row>
    <row r="58" spans="1:3" ht="21.95" customHeight="1" x14ac:dyDescent="0.25">
      <c r="A58" s="22" t="s">
        <v>117</v>
      </c>
      <c r="B58" s="23" t="s">
        <v>260</v>
      </c>
      <c r="C58" s="24"/>
    </row>
    <row r="59" spans="1:3" ht="21.95" customHeight="1" x14ac:dyDescent="0.25">
      <c r="A59" s="22" t="s">
        <v>119</v>
      </c>
      <c r="B59" s="23" t="s">
        <v>261</v>
      </c>
      <c r="C59" s="24" t="s">
        <v>121</v>
      </c>
    </row>
    <row r="60" spans="1:3" ht="21.95" customHeight="1" x14ac:dyDescent="0.25">
      <c r="A60" s="22" t="s">
        <v>122</v>
      </c>
      <c r="B60" s="23" t="s">
        <v>262</v>
      </c>
      <c r="C60" s="24"/>
    </row>
    <row r="61" spans="1:3" ht="21.95" customHeight="1" x14ac:dyDescent="0.25">
      <c r="A61" s="22" t="s">
        <v>124</v>
      </c>
      <c r="B61" s="23" t="s">
        <v>263</v>
      </c>
      <c r="C61" s="24"/>
    </row>
    <row r="62" spans="1:3" ht="24.95" customHeight="1" x14ac:dyDescent="0.25">
      <c r="A62" s="35" t="s">
        <v>126</v>
      </c>
      <c r="B62" s="36"/>
      <c r="C62" s="36"/>
    </row>
    <row r="63" spans="1:3" ht="21.95" customHeight="1" x14ac:dyDescent="0.25">
      <c r="A63" s="22" t="s">
        <v>127</v>
      </c>
      <c r="B63" s="23" t="s">
        <v>264</v>
      </c>
      <c r="C63" s="24" t="s">
        <v>129</v>
      </c>
    </row>
    <row r="64" spans="1:3" ht="21.95" customHeight="1" x14ac:dyDescent="0.25">
      <c r="A64" s="22" t="s">
        <v>130</v>
      </c>
      <c r="B64" s="23" t="s">
        <v>265</v>
      </c>
      <c r="C64" s="24"/>
    </row>
    <row r="65" spans="1:3" ht="21.95" customHeight="1" x14ac:dyDescent="0.25">
      <c r="A65" s="22" t="s">
        <v>132</v>
      </c>
      <c r="B65" s="23" t="s">
        <v>266</v>
      </c>
      <c r="C65" s="24"/>
    </row>
    <row r="66" spans="1:3" ht="21.95" customHeight="1" x14ac:dyDescent="0.25">
      <c r="A66" s="22" t="s">
        <v>134</v>
      </c>
      <c r="B66" s="23" t="s">
        <v>267</v>
      </c>
      <c r="C66" s="24"/>
    </row>
    <row r="67" spans="1:3" ht="21.95" customHeight="1" x14ac:dyDescent="0.25">
      <c r="A67" s="22" t="s">
        <v>135</v>
      </c>
      <c r="B67" s="23" t="s">
        <v>268</v>
      </c>
      <c r="C67" s="24"/>
    </row>
    <row r="68" spans="1:3" ht="24.95" customHeight="1" x14ac:dyDescent="0.25">
      <c r="A68" s="35" t="s">
        <v>137</v>
      </c>
      <c r="B68" s="36"/>
      <c r="C68" s="36"/>
    </row>
    <row r="69" spans="1:3" ht="21.95" customHeight="1" x14ac:dyDescent="0.25">
      <c r="A69" s="22" t="s">
        <v>138</v>
      </c>
      <c r="B69" s="23" t="s">
        <v>139</v>
      </c>
      <c r="C69" s="24" t="s">
        <v>140</v>
      </c>
    </row>
    <row r="70" spans="1:3" ht="21.95" customHeight="1" x14ac:dyDescent="0.25">
      <c r="A70" s="22" t="s">
        <v>141</v>
      </c>
      <c r="B70" s="23" t="s">
        <v>142</v>
      </c>
      <c r="C70" s="24" t="s">
        <v>143</v>
      </c>
    </row>
    <row r="71" spans="1:3" ht="21.95" customHeight="1" x14ac:dyDescent="0.25">
      <c r="A71" s="22" t="s">
        <v>144</v>
      </c>
      <c r="B71" s="23" t="s">
        <v>269</v>
      </c>
      <c r="C71" s="24" t="s">
        <v>146</v>
      </c>
    </row>
  </sheetData>
  <mergeCells count="12">
    <mergeCell ref="A28:C28"/>
    <mergeCell ref="A41:C41"/>
    <mergeCell ref="A68:C68"/>
    <mergeCell ref="A1:C1"/>
    <mergeCell ref="A23:C23"/>
    <mergeCell ref="A14:C14"/>
    <mergeCell ref="A62:C62"/>
    <mergeCell ref="A34:C34"/>
    <mergeCell ref="A4:C4"/>
    <mergeCell ref="A48:C48"/>
    <mergeCell ref="A54:C54"/>
    <mergeCell ref="A52:C5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392B"/>
  </sheetPr>
  <dimension ref="A1:C71"/>
  <sheetViews>
    <sheetView tabSelected="1" workbookViewId="0">
      <pane ySplit="3" topLeftCell="A4" activePane="bottomLeft" state="frozen"/>
      <selection pane="bottomLeft" activeCell="G19" sqref="G19"/>
    </sheetView>
  </sheetViews>
  <sheetFormatPr defaultRowHeight="15" x14ac:dyDescent="0.25"/>
  <cols>
    <col min="1" max="1" width="35" customWidth="1"/>
    <col min="2" max="3" width="40" customWidth="1"/>
  </cols>
  <sheetData>
    <row r="1" spans="1:3" ht="35.1" customHeight="1" x14ac:dyDescent="0.25">
      <c r="A1" s="37" t="s">
        <v>270</v>
      </c>
      <c r="B1" s="30"/>
      <c r="C1" s="30"/>
    </row>
    <row r="3" spans="1:3" x14ac:dyDescent="0.25">
      <c r="A3" s="21" t="s">
        <v>1</v>
      </c>
      <c r="B3" s="21" t="s">
        <v>2</v>
      </c>
      <c r="C3" s="21" t="s">
        <v>3</v>
      </c>
    </row>
    <row r="4" spans="1:3" ht="24.95" customHeight="1" x14ac:dyDescent="0.25">
      <c r="A4" s="35" t="s">
        <v>4</v>
      </c>
      <c r="B4" s="36"/>
      <c r="C4" s="36"/>
    </row>
    <row r="5" spans="1:3" ht="21.95" customHeight="1" x14ac:dyDescent="0.25">
      <c r="A5" s="22" t="s">
        <v>5</v>
      </c>
      <c r="B5" s="23" t="s">
        <v>271</v>
      </c>
      <c r="C5" s="24"/>
    </row>
    <row r="6" spans="1:3" ht="21.95" customHeight="1" x14ac:dyDescent="0.25">
      <c r="A6" s="22" t="s">
        <v>7</v>
      </c>
      <c r="B6" s="23" t="s">
        <v>272</v>
      </c>
      <c r="C6" s="24"/>
    </row>
    <row r="7" spans="1:3" ht="21.95" customHeight="1" x14ac:dyDescent="0.25">
      <c r="A7" s="22" t="s">
        <v>9</v>
      </c>
      <c r="B7" s="25" t="s">
        <v>10</v>
      </c>
      <c r="C7" s="24" t="s">
        <v>11</v>
      </c>
    </row>
    <row r="8" spans="1:3" ht="21.95" customHeight="1" x14ac:dyDescent="0.25">
      <c r="A8" s="22" t="s">
        <v>12</v>
      </c>
      <c r="B8" s="23" t="s">
        <v>13</v>
      </c>
      <c r="C8" s="24" t="s">
        <v>14</v>
      </c>
    </row>
    <row r="9" spans="1:3" ht="21.95" customHeight="1" x14ac:dyDescent="0.25">
      <c r="A9" s="22" t="s">
        <v>15</v>
      </c>
      <c r="B9" s="23" t="s">
        <v>16</v>
      </c>
      <c r="C9" s="24" t="s">
        <v>17</v>
      </c>
    </row>
    <row r="10" spans="1:3" ht="21.95" customHeight="1" x14ac:dyDescent="0.25">
      <c r="A10" s="22" t="s">
        <v>18</v>
      </c>
      <c r="B10" s="23" t="s">
        <v>199</v>
      </c>
      <c r="C10" s="24" t="s">
        <v>20</v>
      </c>
    </row>
    <row r="11" spans="1:3" ht="21.95" customHeight="1" x14ac:dyDescent="0.25">
      <c r="A11" s="22" t="s">
        <v>21</v>
      </c>
      <c r="B11" s="23" t="s">
        <v>244</v>
      </c>
      <c r="C11" s="24" t="s">
        <v>23</v>
      </c>
    </row>
    <row r="12" spans="1:3" ht="21.95" customHeight="1" x14ac:dyDescent="0.25">
      <c r="A12" s="22" t="s">
        <v>24</v>
      </c>
      <c r="B12" s="23" t="s">
        <v>273</v>
      </c>
      <c r="C12" s="24" t="s">
        <v>26</v>
      </c>
    </row>
    <row r="13" spans="1:3" ht="21.95" customHeight="1" x14ac:dyDescent="0.25">
      <c r="A13" s="22" t="s">
        <v>27</v>
      </c>
      <c r="B13" s="25" t="s">
        <v>10</v>
      </c>
      <c r="C13" s="24" t="s">
        <v>28</v>
      </c>
    </row>
    <row r="14" spans="1:3" ht="24.95" customHeight="1" x14ac:dyDescent="0.25">
      <c r="A14" s="35" t="s">
        <v>29</v>
      </c>
      <c r="B14" s="36"/>
      <c r="C14" s="36"/>
    </row>
    <row r="15" spans="1:3" ht="21.95" customHeight="1" x14ac:dyDescent="0.25">
      <c r="A15" s="22" t="s">
        <v>30</v>
      </c>
      <c r="B15" s="23" t="s">
        <v>31</v>
      </c>
      <c r="C15" s="24" t="s">
        <v>32</v>
      </c>
    </row>
    <row r="16" spans="1:3" ht="21.95" customHeight="1" x14ac:dyDescent="0.25">
      <c r="A16" s="22" t="s">
        <v>33</v>
      </c>
      <c r="B16" s="23" t="s">
        <v>274</v>
      </c>
      <c r="C16" s="24" t="s">
        <v>35</v>
      </c>
    </row>
    <row r="17" spans="1:3" ht="21.95" customHeight="1" x14ac:dyDescent="0.25">
      <c r="A17" s="22" t="s">
        <v>36</v>
      </c>
      <c r="B17" s="23" t="s">
        <v>275</v>
      </c>
      <c r="C17" s="24"/>
    </row>
    <row r="18" spans="1:3" ht="21.95" customHeight="1" x14ac:dyDescent="0.25">
      <c r="A18" s="22" t="s">
        <v>38</v>
      </c>
      <c r="B18" s="25" t="s">
        <v>10</v>
      </c>
      <c r="C18" s="24" t="s">
        <v>39</v>
      </c>
    </row>
    <row r="19" spans="1:3" ht="21.95" customHeight="1" x14ac:dyDescent="0.25">
      <c r="A19" s="22" t="s">
        <v>40</v>
      </c>
      <c r="B19" s="25" t="s">
        <v>10</v>
      </c>
      <c r="C19" s="24" t="s">
        <v>42</v>
      </c>
    </row>
    <row r="20" spans="1:3" ht="21.95" customHeight="1" x14ac:dyDescent="0.25">
      <c r="A20" s="22" t="s">
        <v>43</v>
      </c>
      <c r="B20" s="25" t="s">
        <v>10</v>
      </c>
      <c r="C20" s="24" t="s">
        <v>44</v>
      </c>
    </row>
    <row r="21" spans="1:3" ht="21.95" customHeight="1" x14ac:dyDescent="0.25">
      <c r="A21" s="22" t="s">
        <v>45</v>
      </c>
      <c r="B21" s="25" t="s">
        <v>10</v>
      </c>
      <c r="C21" s="24" t="s">
        <v>46</v>
      </c>
    </row>
    <row r="22" spans="1:3" ht="21.95" customHeight="1" x14ac:dyDescent="0.25">
      <c r="A22" s="22" t="s">
        <v>47</v>
      </c>
      <c r="B22" s="25" t="s">
        <v>10</v>
      </c>
      <c r="C22" s="24" t="s">
        <v>48</v>
      </c>
    </row>
    <row r="23" spans="1:3" ht="24.95" customHeight="1" x14ac:dyDescent="0.25">
      <c r="A23" s="35" t="s">
        <v>49</v>
      </c>
      <c r="B23" s="36"/>
      <c r="C23" s="36"/>
    </row>
    <row r="24" spans="1:3" ht="21.95" customHeight="1" x14ac:dyDescent="0.25">
      <c r="A24" s="22" t="s">
        <v>50</v>
      </c>
      <c r="B24" s="23" t="s">
        <v>276</v>
      </c>
      <c r="C24" s="24" t="s">
        <v>51</v>
      </c>
    </row>
    <row r="25" spans="1:3" ht="21.95" customHeight="1" x14ac:dyDescent="0.25">
      <c r="A25" s="22" t="s">
        <v>52</v>
      </c>
      <c r="B25" s="25" t="s">
        <v>10</v>
      </c>
      <c r="C25" s="24" t="s">
        <v>53</v>
      </c>
    </row>
    <row r="26" spans="1:3" ht="21.95" customHeight="1" x14ac:dyDescent="0.25">
      <c r="A26" s="22" t="s">
        <v>54</v>
      </c>
      <c r="B26" s="25" t="s">
        <v>10</v>
      </c>
      <c r="C26" s="24" t="s">
        <v>55</v>
      </c>
    </row>
    <row r="27" spans="1:3" ht="21.95" customHeight="1" x14ac:dyDescent="0.25">
      <c r="A27" s="22" t="s">
        <v>56</v>
      </c>
      <c r="B27" s="23" t="s">
        <v>277</v>
      </c>
      <c r="C27" s="24" t="s">
        <v>58</v>
      </c>
    </row>
    <row r="28" spans="1:3" ht="24.95" customHeight="1" x14ac:dyDescent="0.25">
      <c r="A28" s="35" t="s">
        <v>59</v>
      </c>
      <c r="B28" s="36"/>
      <c r="C28" s="36"/>
    </row>
    <row r="29" spans="1:3" ht="21.95" customHeight="1" x14ac:dyDescent="0.25">
      <c r="A29" s="22" t="s">
        <v>60</v>
      </c>
      <c r="B29" s="23">
        <v>110000</v>
      </c>
      <c r="C29" s="24" t="s">
        <v>61</v>
      </c>
    </row>
    <row r="30" spans="1:3" ht="21.95" customHeight="1" x14ac:dyDescent="0.25">
      <c r="A30" s="22" t="s">
        <v>62</v>
      </c>
      <c r="B30" s="25" t="s">
        <v>10</v>
      </c>
      <c r="C30" s="24" t="s">
        <v>63</v>
      </c>
    </row>
    <row r="31" spans="1:3" ht="21.95" customHeight="1" x14ac:dyDescent="0.25">
      <c r="A31" s="22" t="s">
        <v>64</v>
      </c>
      <c r="B31" s="23" t="s">
        <v>278</v>
      </c>
      <c r="C31" s="24" t="s">
        <v>65</v>
      </c>
    </row>
    <row r="32" spans="1:3" ht="21.95" customHeight="1" x14ac:dyDescent="0.25">
      <c r="A32" s="22" t="s">
        <v>66</v>
      </c>
      <c r="B32" s="25" t="s">
        <v>10</v>
      </c>
      <c r="C32" s="24" t="s">
        <v>14</v>
      </c>
    </row>
    <row r="33" spans="1:3" ht="21.95" customHeight="1" x14ac:dyDescent="0.25">
      <c r="A33" s="22" t="s">
        <v>67</v>
      </c>
      <c r="B33" s="25" t="s">
        <v>10</v>
      </c>
      <c r="C33" s="24" t="s">
        <v>68</v>
      </c>
    </row>
    <row r="34" spans="1:3" ht="24.95" customHeight="1" x14ac:dyDescent="0.25">
      <c r="A34" s="35" t="s">
        <v>69</v>
      </c>
      <c r="B34" s="36"/>
      <c r="C34" s="36"/>
    </row>
    <row r="35" spans="1:3" ht="21.95" customHeight="1" x14ac:dyDescent="0.25">
      <c r="A35" s="22" t="s">
        <v>70</v>
      </c>
      <c r="B35" s="23" t="s">
        <v>279</v>
      </c>
      <c r="C35" s="24" t="s">
        <v>72</v>
      </c>
    </row>
    <row r="36" spans="1:3" ht="21.95" customHeight="1" x14ac:dyDescent="0.25">
      <c r="A36" s="22" t="s">
        <v>73</v>
      </c>
      <c r="B36" s="23" t="s">
        <v>280</v>
      </c>
      <c r="C36" s="24" t="s">
        <v>74</v>
      </c>
    </row>
    <row r="37" spans="1:3" ht="21.95" customHeight="1" x14ac:dyDescent="0.25">
      <c r="A37" s="22" t="s">
        <v>75</v>
      </c>
      <c r="B37" s="23" t="s">
        <v>76</v>
      </c>
      <c r="C37" s="24" t="s">
        <v>14</v>
      </c>
    </row>
    <row r="38" spans="1:3" ht="21.95" customHeight="1" x14ac:dyDescent="0.25">
      <c r="A38" s="22" t="s">
        <v>77</v>
      </c>
      <c r="B38" s="23" t="s">
        <v>281</v>
      </c>
      <c r="C38" s="24" t="s">
        <v>79</v>
      </c>
    </row>
    <row r="39" spans="1:3" ht="21.95" customHeight="1" x14ac:dyDescent="0.25">
      <c r="A39" s="22" t="s">
        <v>80</v>
      </c>
      <c r="B39" s="25" t="s">
        <v>10</v>
      </c>
      <c r="C39" s="24" t="s">
        <v>81</v>
      </c>
    </row>
    <row r="40" spans="1:3" ht="21.95" customHeight="1" x14ac:dyDescent="0.25">
      <c r="A40" s="22" t="s">
        <v>82</v>
      </c>
      <c r="B40" s="25" t="s">
        <v>10</v>
      </c>
      <c r="C40" s="24" t="s">
        <v>83</v>
      </c>
    </row>
    <row r="41" spans="1:3" ht="24.95" customHeight="1" x14ac:dyDescent="0.25">
      <c r="A41" s="35" t="s">
        <v>84</v>
      </c>
      <c r="B41" s="36"/>
      <c r="C41" s="36"/>
    </row>
    <row r="42" spans="1:3" ht="21.95" customHeight="1" x14ac:dyDescent="0.25">
      <c r="A42" s="22" t="s">
        <v>85</v>
      </c>
      <c r="B42" s="23" t="s">
        <v>282</v>
      </c>
      <c r="C42" s="24" t="s">
        <v>87</v>
      </c>
    </row>
    <row r="43" spans="1:3" ht="21.95" customHeight="1" x14ac:dyDescent="0.25">
      <c r="A43" s="22" t="s">
        <v>88</v>
      </c>
      <c r="B43" s="23" t="s">
        <v>283</v>
      </c>
      <c r="C43" s="24" t="s">
        <v>90</v>
      </c>
    </row>
    <row r="44" spans="1:3" ht="21.95" customHeight="1" x14ac:dyDescent="0.25">
      <c r="A44" s="22" t="s">
        <v>91</v>
      </c>
      <c r="B44" s="25" t="s">
        <v>10</v>
      </c>
      <c r="C44" s="24" t="s">
        <v>92</v>
      </c>
    </row>
    <row r="45" spans="1:3" ht="21.95" customHeight="1" x14ac:dyDescent="0.25">
      <c r="A45" s="22" t="s">
        <v>93</v>
      </c>
      <c r="B45" s="25" t="s">
        <v>10</v>
      </c>
      <c r="C45" s="24" t="s">
        <v>94</v>
      </c>
    </row>
    <row r="46" spans="1:3" ht="21.95" customHeight="1" x14ac:dyDescent="0.25">
      <c r="A46" s="22" t="s">
        <v>95</v>
      </c>
      <c r="B46" s="25" t="s">
        <v>10</v>
      </c>
      <c r="C46" s="24" t="s">
        <v>14</v>
      </c>
    </row>
    <row r="47" spans="1:3" ht="21.95" customHeight="1" x14ac:dyDescent="0.25">
      <c r="A47" s="22" t="s">
        <v>96</v>
      </c>
      <c r="B47" s="25" t="s">
        <v>10</v>
      </c>
      <c r="C47" s="24" t="s">
        <v>97</v>
      </c>
    </row>
    <row r="48" spans="1:3" ht="24.95" customHeight="1" x14ac:dyDescent="0.25">
      <c r="A48" s="35" t="s">
        <v>98</v>
      </c>
      <c r="B48" s="36"/>
      <c r="C48" s="36"/>
    </row>
    <row r="49" spans="1:3" ht="21.95" customHeight="1" x14ac:dyDescent="0.25">
      <c r="A49" s="22" t="s">
        <v>99</v>
      </c>
      <c r="B49" s="25" t="s">
        <v>10</v>
      </c>
      <c r="C49" s="24" t="s">
        <v>100</v>
      </c>
    </row>
    <row r="50" spans="1:3" ht="21.95" customHeight="1" x14ac:dyDescent="0.25">
      <c r="A50" s="22" t="s">
        <v>101</v>
      </c>
      <c r="B50" s="25" t="s">
        <v>10</v>
      </c>
      <c r="C50" s="24" t="s">
        <v>102</v>
      </c>
    </row>
    <row r="51" spans="1:3" ht="21.95" customHeight="1" x14ac:dyDescent="0.25">
      <c r="A51" s="22" t="s">
        <v>103</v>
      </c>
      <c r="B51" s="23" t="s">
        <v>284</v>
      </c>
      <c r="C51" s="24" t="s">
        <v>105</v>
      </c>
    </row>
    <row r="52" spans="1:3" ht="24.95" customHeight="1" x14ac:dyDescent="0.25">
      <c r="A52" s="35" t="s">
        <v>106</v>
      </c>
      <c r="B52" s="36"/>
      <c r="C52" s="36"/>
    </row>
    <row r="53" spans="1:3" ht="21.95" customHeight="1" x14ac:dyDescent="0.25">
      <c r="A53" s="22" t="s">
        <v>107</v>
      </c>
      <c r="B53" s="25" t="s">
        <v>10</v>
      </c>
      <c r="C53" s="24" t="s">
        <v>108</v>
      </c>
    </row>
    <row r="54" spans="1:3" ht="24.95" customHeight="1" x14ac:dyDescent="0.25">
      <c r="A54" s="35" t="s">
        <v>109</v>
      </c>
      <c r="B54" s="36"/>
      <c r="C54" s="36"/>
    </row>
    <row r="55" spans="1:3" ht="21.95" customHeight="1" x14ac:dyDescent="0.25">
      <c r="A55" s="22" t="s">
        <v>110</v>
      </c>
      <c r="B55" s="23" t="s">
        <v>285</v>
      </c>
      <c r="C55" s="24" t="s">
        <v>112</v>
      </c>
    </row>
    <row r="56" spans="1:3" ht="21.95" customHeight="1" x14ac:dyDescent="0.25">
      <c r="A56" s="22" t="s">
        <v>113</v>
      </c>
      <c r="B56" s="23" t="s">
        <v>286</v>
      </c>
      <c r="C56" s="24"/>
    </row>
    <row r="57" spans="1:3" ht="21.95" customHeight="1" x14ac:dyDescent="0.25">
      <c r="A57" s="22" t="s">
        <v>115</v>
      </c>
      <c r="B57" s="23" t="s">
        <v>287</v>
      </c>
      <c r="C57" s="24"/>
    </row>
    <row r="58" spans="1:3" ht="21.95" customHeight="1" x14ac:dyDescent="0.25">
      <c r="A58" s="22" t="s">
        <v>117</v>
      </c>
      <c r="B58" s="23" t="s">
        <v>288</v>
      </c>
      <c r="C58" s="24"/>
    </row>
    <row r="59" spans="1:3" ht="21.95" customHeight="1" x14ac:dyDescent="0.25">
      <c r="A59" s="22" t="s">
        <v>119</v>
      </c>
      <c r="B59" s="23" t="s">
        <v>289</v>
      </c>
      <c r="C59" s="24" t="s">
        <v>121</v>
      </c>
    </row>
    <row r="60" spans="1:3" ht="21.95" customHeight="1" x14ac:dyDescent="0.25">
      <c r="A60" s="22" t="s">
        <v>122</v>
      </c>
      <c r="B60" s="23" t="s">
        <v>290</v>
      </c>
      <c r="C60" s="24"/>
    </row>
    <row r="61" spans="1:3" ht="21.95" customHeight="1" x14ac:dyDescent="0.25">
      <c r="A61" s="22" t="s">
        <v>124</v>
      </c>
      <c r="B61" s="23" t="s">
        <v>291</v>
      </c>
      <c r="C61" s="24"/>
    </row>
    <row r="62" spans="1:3" ht="24.95" customHeight="1" x14ac:dyDescent="0.25">
      <c r="A62" s="35" t="s">
        <v>126</v>
      </c>
      <c r="B62" s="36"/>
      <c r="C62" s="36"/>
    </row>
    <row r="63" spans="1:3" ht="21.95" customHeight="1" x14ac:dyDescent="0.25">
      <c r="A63" s="22" t="s">
        <v>127</v>
      </c>
      <c r="B63" s="23" t="s">
        <v>292</v>
      </c>
      <c r="C63" s="24" t="s">
        <v>129</v>
      </c>
    </row>
    <row r="64" spans="1:3" ht="21.95" customHeight="1" x14ac:dyDescent="0.25">
      <c r="A64" s="22" t="s">
        <v>130</v>
      </c>
      <c r="B64" s="23" t="s">
        <v>293</v>
      </c>
      <c r="C64" s="24"/>
    </row>
    <row r="65" spans="1:3" ht="21.95" customHeight="1" x14ac:dyDescent="0.25">
      <c r="A65" s="22" t="s">
        <v>132</v>
      </c>
      <c r="B65" s="23" t="s">
        <v>294</v>
      </c>
      <c r="C65" s="24"/>
    </row>
    <row r="66" spans="1:3" ht="21.95" customHeight="1" x14ac:dyDescent="0.25">
      <c r="A66" s="22" t="s">
        <v>134</v>
      </c>
      <c r="B66" s="23" t="s">
        <v>295</v>
      </c>
      <c r="C66" s="24"/>
    </row>
    <row r="67" spans="1:3" ht="21.95" customHeight="1" x14ac:dyDescent="0.25">
      <c r="A67" s="22" t="s">
        <v>135</v>
      </c>
      <c r="B67" s="23" t="s">
        <v>296</v>
      </c>
      <c r="C67" s="24"/>
    </row>
    <row r="68" spans="1:3" ht="24.95" customHeight="1" x14ac:dyDescent="0.25">
      <c r="A68" s="35" t="s">
        <v>137</v>
      </c>
      <c r="B68" s="36"/>
      <c r="C68" s="36"/>
    </row>
    <row r="69" spans="1:3" ht="21.95" customHeight="1" x14ac:dyDescent="0.25">
      <c r="A69" s="22" t="s">
        <v>138</v>
      </c>
      <c r="B69" s="23" t="s">
        <v>139</v>
      </c>
      <c r="C69" s="24" t="s">
        <v>140</v>
      </c>
    </row>
    <row r="70" spans="1:3" ht="21.95" customHeight="1" x14ac:dyDescent="0.25">
      <c r="A70" s="22" t="s">
        <v>141</v>
      </c>
      <c r="B70" s="23" t="s">
        <v>142</v>
      </c>
      <c r="C70" s="24" t="s">
        <v>143</v>
      </c>
    </row>
    <row r="71" spans="1:3" ht="21.95" customHeight="1" x14ac:dyDescent="0.25">
      <c r="A71" s="22" t="s">
        <v>144</v>
      </c>
      <c r="B71" s="23" t="s">
        <v>297</v>
      </c>
      <c r="C71" s="24" t="s">
        <v>146</v>
      </c>
    </row>
  </sheetData>
  <mergeCells count="12">
    <mergeCell ref="A28:C28"/>
    <mergeCell ref="A41:C41"/>
    <mergeCell ref="A68:C68"/>
    <mergeCell ref="A1:C1"/>
    <mergeCell ref="A23:C23"/>
    <mergeCell ref="A14:C14"/>
    <mergeCell ref="A62:C62"/>
    <mergeCell ref="A34:C34"/>
    <mergeCell ref="A4:C4"/>
    <mergeCell ref="A48:C48"/>
    <mergeCell ref="A54:C54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OVERZICHT</vt:lpstr>
      <vt:lpstr>TONDO</vt:lpstr>
      <vt:lpstr>THE ROOT</vt:lpstr>
      <vt:lpstr>The Albert</vt:lpstr>
      <vt:lpstr>The Arch</vt:lpstr>
      <vt:lpstr>Studeopolis</vt:lpstr>
      <vt:lpstr>Kotter</vt:lpstr>
      <vt:lpstr>Upkot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Bram Coorevits | Candor</cp:lastModifiedBy>
  <dcterms:created xsi:type="dcterms:W3CDTF">2026-03-05T16:28:58Z</dcterms:created>
  <dcterms:modified xsi:type="dcterms:W3CDTF">2026-03-05T17:18:52Z</dcterms:modified>
</cp:coreProperties>
</file>